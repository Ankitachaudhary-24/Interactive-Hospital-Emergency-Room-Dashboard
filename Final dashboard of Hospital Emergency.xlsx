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ac091\Downloads\excel project\"/>
    </mc:Choice>
  </mc:AlternateContent>
  <xr:revisionPtr revIDLastSave="0" documentId="8_{47445D19-6275-44BD-BBB6-0C6C180FFF30}" xr6:coauthVersionLast="47" xr6:coauthVersionMax="47" xr10:uidLastSave="{00000000-0000-0000-0000-000000000000}"/>
  <bookViews>
    <workbookView xWindow="-108" yWindow="-108" windowWidth="23256" windowHeight="12456" firstSheet="1" activeTab="1" xr2:uid="{732E5F25-4F2E-4866-A7A8-356D542104EE}"/>
  </bookViews>
  <sheets>
    <sheet name="Pivot Report" sheetId="1" r:id="rId1"/>
    <sheet name="Dashboard" sheetId="3" r:id="rId2"/>
    <sheet name="Sheet5" sheetId="5" r:id="rId3"/>
  </sheets>
  <definedNames>
    <definedName name="Slicer_Date__Month">#N/A</definedName>
    <definedName name="Slicer_Date__Year">#N/A</definedName>
  </definedNames>
  <calcPr calcId="191029"/>
  <pivotCaches>
    <pivotCache cacheId="1949" r:id="rId4"/>
    <pivotCache cacheId="1952" r:id="rId5"/>
    <pivotCache cacheId="1955" r:id="rId6"/>
    <pivotCache cacheId="1958" r:id="rId7"/>
    <pivotCache cacheId="1961" r:id="rId8"/>
    <pivotCache cacheId="1964" r:id="rId9"/>
    <pivotCache cacheId="1967" r:id="rId10"/>
    <pivotCache cacheId="1970" r:id="rId11"/>
    <pivotCache cacheId="1973" r:id="rId12"/>
    <pivotCache cacheId="1976" r:id="rId13"/>
    <pivotCache cacheId="1979" r:id="rId14"/>
    <pivotCache cacheId="1982" r:id="rId15"/>
  </pivotCaches>
  <extLst>
    <ext xmlns:x14="http://schemas.microsoft.com/office/spreadsheetml/2009/9/main" uri="{876F7934-8845-4945-9796-88D515C7AA90}">
      <x14:pivotCaches>
        <pivotCache cacheId="1036"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a4ed5cf9-882c-4905-b8b1-e6fe0371d059" name="Hospital Emergency Room Data" connection="Query - Hospital Emergency Room Data"/>
          <x15:modelTable id="Calender_table_63601d0b-34af-475b-b0db-1d40bdae872b"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9" i="1" l="1"/>
  <c r="C49" i="1"/>
  <c r="B4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155BF7-8855-4C9B-AAF3-164CABB7E7F8}" name="Query - Calender_table" description="Connection to the 'Calender_table' query in the workbook." type="100" refreshedVersion="8" minRefreshableVersion="5">
    <extLst>
      <ext xmlns:x15="http://schemas.microsoft.com/office/spreadsheetml/2010/11/main" uri="{DE250136-89BD-433C-8126-D09CA5730AF9}">
        <x15:connection id="50021e71-f3c3-44ba-b953-9485f761d397"/>
      </ext>
    </extLst>
  </connection>
  <connection id="2" xr16:uid="{ECFCB433-17E3-4183-BB2D-629BB5254918}"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730544db-0627-4122-a905-fd4ad2580180"/>
      </ext>
    </extLst>
  </connection>
  <connection id="3" xr16:uid="{49FDACF7-3C5F-489F-99F8-143706A4561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<sst xmlns="http://schemas.openxmlformats.org/spreadsheetml/2006/main" count="151" uniqueCount="69">
  <si>
    <t>Distinct Count of Patient Id</t>
  </si>
  <si>
    <t>No.of patient</t>
  </si>
  <si>
    <t>Average of Patient Waittime</t>
  </si>
  <si>
    <t>Male</t>
  </si>
  <si>
    <t>None</t>
  </si>
  <si>
    <t>Admitted</t>
  </si>
  <si>
    <t>60-69</t>
  </si>
  <si>
    <t>Delay</t>
  </si>
  <si>
    <t>70-79</t>
  </si>
  <si>
    <t>10-19</t>
  </si>
  <si>
    <t>ontime</t>
  </si>
  <si>
    <t>40-49</t>
  </si>
  <si>
    <t>50-59</t>
  </si>
  <si>
    <t>20-29</t>
  </si>
  <si>
    <t>0-9</t>
  </si>
  <si>
    <t>30-39</t>
  </si>
  <si>
    <t>Female</t>
  </si>
  <si>
    <t>Not Admitted</t>
  </si>
  <si>
    <t>Average of Patient Satisfaction Score</t>
  </si>
  <si>
    <t>Row Labels</t>
  </si>
  <si>
    <t>Grand Total</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</si>
  <si>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</si>
  <si>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</si>
  <si>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</si>
  <si>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</si>
  <si>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</si>
  <si>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</si>
  <si>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</si>
  <si>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</si>
  <si>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</si>
  <si>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</si>
  <si>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</si>
  <si>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</si>
  <si>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</si>
  <si>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</si>
  <si>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</si>
  <si>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</si>
  <si>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</si>
  <si>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</si>
  <si>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</si>
  <si>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</si>
  <si>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</si>
  <si>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</si>
  <si>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</si>
  <si>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</si>
  <si>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</si>
  <si>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</si>
  <si>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</si>
  <si>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</si>
  <si>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</si>
  <si>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</si>
  <si>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</si>
  <si>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</si>
  <si>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General Practice</t>
  </si>
  <si>
    <t>Orthopedics</t>
  </si>
  <si>
    <t>Renal</t>
  </si>
  <si>
    <t>Physiotherapy</t>
  </si>
  <si>
    <t>Gastroenterology</t>
  </si>
  <si>
    <t>Neurology</t>
  </si>
  <si>
    <t>Count of Patient Attend Status</t>
  </si>
  <si>
    <t>Count of Patient Admission Flag</t>
  </si>
  <si>
    <t>Count of Patient Admission Flag2</t>
  </si>
  <si>
    <t xml:space="preserve">Admission Status </t>
  </si>
  <si>
    <t>%Status</t>
  </si>
  <si>
    <t xml:space="preserve"> Patient </t>
  </si>
  <si>
    <t>Count of Age Group</t>
  </si>
  <si>
    <t>Count of Patient Gender</t>
  </si>
  <si>
    <t>Cardiology</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</si>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</sst>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11"/>
      <color theme="0"/>
      <name val="Calibri"/>
      <family val="2"/>
      <scheme val="minor"/>
    </font>
  </fonts>
  <fills count="5">
    <fill>
      <patternFill patternType="none"/>
    </fill>
    <fill>
      <patternFill patternType="gray125"/>
    </fill>
    <fill>
      <patternFill patternType="solid">
        <fgColor theme="1" tint="0.249977111117893"/>
        <bgColor indexed="64"/>
      </patternFill>
    </fill>
    <fill>
      <patternFill patternType="solid">
        <fgColor theme="3" tint="-0.499984740745262"/>
        <bgColor indexed="64"/>
      </patternFill>
    </fill>
    <fill>
      <patternFill patternType="solid">
        <fgColor theme="4"/>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applyBorder="1"/>
    <xf numFmtId="0" fontId="0" fillId="0" borderId="0" xfId="0" applyNumberFormat="1"/>
    <xf numFmtId="0" fontId="0" fillId="0" borderId="0" xfId="0" pivotButton="1"/>
    <xf numFmtId="2" fontId="0" fillId="0" borderId="0" xfId="0" applyNumberFormat="1"/>
    <xf numFmtId="0" fontId="0" fillId="2" borderId="0" xfId="0" applyFill="1"/>
    <xf numFmtId="0" fontId="0" fillId="0" borderId="0" xfId="0" applyAlignment="1">
      <alignment horizontal="left"/>
    </xf>
    <xf numFmtId="10" fontId="0" fillId="0" borderId="0" xfId="0" applyNumberFormat="1"/>
    <xf numFmtId="1" fontId="0" fillId="0" borderId="0" xfId="0" applyNumberFormat="1"/>
    <xf numFmtId="0" fontId="0" fillId="0" borderId="0" xfId="0"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10" fontId="2" fillId="4" borderId="0" xfId="1" applyNumberFormat="1" applyFont="1" applyFill="1" applyAlignment="1">
      <alignment horizontal="center"/>
    </xf>
    <xf numFmtId="1" fontId="2" fillId="4" borderId="0" xfId="0" applyNumberFormat="1" applyFont="1" applyFill="1" applyAlignment="1">
      <alignment horizontal="center"/>
    </xf>
    <xf numFmtId="10" fontId="2" fillId="4" borderId="0" xfId="0" applyNumberFormat="1" applyFont="1" applyFill="1" applyAlignment="1">
      <alignment horizontal="center"/>
    </xf>
  </cellXfs>
  <cellStyles count="2">
    <cellStyle name="Normal" xfId="0" builtinId="0"/>
    <cellStyle name="Percent" xfId="1" builtinId="5"/>
  </cellStyles>
  <dxfs count="308">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font>
        <color theme="0" tint="-4.9989318521683403E-2"/>
      </font>
      <fill>
        <patternFill patternType="mediumGray">
          <bgColor theme="3" tint="-0.24994659260841701"/>
        </patternFill>
      </fill>
      <border diagonalUp="0" diagonalDown="0">
        <left style="thick">
          <color rgb="FF0070C0"/>
        </left>
        <right style="thick">
          <color rgb="FF0070C0"/>
        </right>
        <top style="thick">
          <color rgb="FF0070C0"/>
        </top>
        <bottom style="thick">
          <color rgb="FF0070C0"/>
        </bottom>
        <vertical/>
        <horizontal/>
      </border>
    </dxf>
    <dxf>
      <font>
        <color theme="3" tint="-0.499984740745262"/>
      </font>
    </dxf>
    <dxf>
      <font>
        <color theme="3" tint="-0.499984740745262"/>
      </font>
    </dxf>
  </dxfs>
  <tableStyles count="3" defaultTableStyle="TableStyleMedium2" defaultPivotStyle="PivotStyleLight16">
    <tableStyle name="My style" pivot="0" table="0" count="1" xr9:uid="{A57D9958-0F54-4EDC-9C44-92C5523BCA91}">
      <tableStyleElement type="wholeTable" dxfId="307"/>
    </tableStyle>
    <tableStyle name="Slicer Style 1" pivot="0" table="0" count="1" xr9:uid="{2C0B4285-6088-49A1-8C88-768BF9E1B592}">
      <tableStyleElement type="wholeTable" dxfId="306"/>
    </tableStyle>
    <tableStyle name="Slicer Style 2" pivot="0" table="0" count="2" xr9:uid="{64EE2F42-F799-46F9-BE12-A8FA5AEF44A5}">
      <tableStyleElement type="wholeTable" dxfId="305"/>
    </tableStyle>
  </tableStyles>
  <extLst>
    <ext xmlns:x14="http://schemas.microsoft.com/office/spreadsheetml/2009/9/main" uri="{46F421CA-312F-682f-3DD2-61675219B42D}">
      <x14:dxfs count="1">
        <dxf/>
      </x14:dxfs>
    </ext>
    <ext xmlns:x14="http://schemas.microsoft.com/office/spreadsheetml/2009/9/main" uri="{EB79DEF2-80B8-43e5-95BD-54CBDDF9020C}">
      <x14:slicerStyles defaultSlicerStyle="SlicerStyleLight1">
        <x14:slicerStyle name="My style"/>
        <x14:slicerStyle name="Slicer Style 1"/>
        <x14:slicerStyle name="Slicer Style 2">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Emergency.xlsx]Pivot Report!PivotTable8</c:name>
    <c:fmtId val="0"/>
  </c:pivotSource>
  <c:chart>
    <c:autoTitleDeleted val="0"/>
    <c:pivotFmts>
      <c:pivotFmt>
        <c:idx val="0"/>
        <c:spPr>
          <a:solidFill>
            <a:schemeClr val="tx2">
              <a:lumMod val="50000"/>
            </a:schemeClr>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solidFill>
              <a:schemeClr val="accent1">
                <a:lumMod val="50000"/>
              </a:schemeClr>
            </a:solidFill>
          </a:ln>
          <a:effectLst/>
        </c:spPr>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fld id="{B09B0514-C845-4F02-B405-A2D1848D77EB}" type="CELLRANGE">
                  <a:rPr lang="en-US" sz="1100" baseline="0"/>
                  <a:pPr>
                    <a:defRPr sz="1100" baseline="0"/>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49233954451345746"/>
                  <c:h val="0.29362873758427255"/>
                </c:manualLayout>
              </c15:layout>
              <c15:dlblFieldTable/>
              <c15:xForSave val="1"/>
              <c15:showDataLabelsRange val="1"/>
            </c:ext>
          </c:extLst>
        </c:dLbl>
      </c:pivotFmt>
      <c:pivotFmt>
        <c:idx val="3"/>
        <c:spPr>
          <a:solidFill>
            <a:schemeClr val="tx2">
              <a:lumMod val="50000"/>
            </a:schemeClr>
          </a:solidFill>
          <a:ln>
            <a:solidFill>
              <a:schemeClr val="accent1">
                <a:lumMod val="50000"/>
              </a:schemeClr>
            </a:solidFill>
          </a:ln>
          <a:effectLst/>
        </c:spPr>
        <c:dLbl>
          <c:idx val="0"/>
          <c:tx>
            <c:rich>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fld id="{4080FC85-35A8-4334-B4FA-16CE8FDEF7FC}" type="CELLRANGE">
                  <a:rPr lang="en-US" sz="1100" baseline="0"/>
                  <a:pPr>
                    <a:defRPr sz="1100" baseline="0"/>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49233954451345746"/>
                  <c:h val="0.35898821470845554"/>
                </c:manualLayout>
              </c15:layout>
              <c15:dlblFieldTable/>
              <c15:xForSave val="1"/>
              <c15:showDataLabelsRange val="1"/>
            </c:ext>
          </c:extLst>
        </c:dLbl>
      </c:pivotFmt>
    </c:pivotFmts>
    <c:plotArea>
      <c:layout>
        <c:manualLayout>
          <c:layoutTarget val="inner"/>
          <c:xMode val="edge"/>
          <c:yMode val="edge"/>
          <c:x val="3.1341945246168082E-2"/>
          <c:y val="0.13580361278369618"/>
          <c:w val="0.52087828434257111"/>
          <c:h val="0.72839506172839508"/>
        </c:manualLayout>
      </c:layout>
      <c:barChart>
        <c:barDir val="bar"/>
        <c:grouping val="clustered"/>
        <c:varyColors val="0"/>
        <c:ser>
          <c:idx val="0"/>
          <c:order val="0"/>
          <c:tx>
            <c:strRef>
              <c:f>'Pivot Report'!$C$53:$C$54</c:f>
              <c:strCache>
                <c:ptCount val="1"/>
                <c:pt idx="0">
                  <c:v>Count of Patient Admission Flag</c:v>
                </c:pt>
              </c:strCache>
            </c:strRef>
          </c:tx>
          <c:spPr>
            <a:solidFill>
              <a:schemeClr val="tx2">
                <a:lumMod val="50000"/>
              </a:schemeClr>
            </a:solidFill>
            <a:ln>
              <a:solidFill>
                <a:schemeClr val="accent1">
                  <a:lumMod val="50000"/>
                </a:schemeClr>
              </a:solidFill>
            </a:ln>
            <a:effectLst/>
          </c:spPr>
          <c:invertIfNegative val="0"/>
          <c:dLbls>
            <c:dLbl>
              <c:idx val="0"/>
              <c:tx>
                <c:rich>
                  <a:bodyPr/>
                  <a:lstStyle/>
                  <a:p>
                    <a:fld id="{B09B0514-C845-4F02-B405-A2D1848D77EB}" type="CELLRANGE">
                      <a:rPr lang="en-US" sz="1100" baseline="0"/>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manualLayout>
                      <c:w val="0.49233954451345746"/>
                      <c:h val="0.29362873758427255"/>
                    </c:manualLayout>
                  </c15:layout>
                  <c15:dlblFieldTable/>
                  <c15:xForSave val="1"/>
                  <c15:showDataLabelsRange val="1"/>
                </c:ext>
                <c:ext xmlns:c16="http://schemas.microsoft.com/office/drawing/2014/chart" uri="{C3380CC4-5D6E-409C-BE32-E72D297353CC}">
                  <c16:uniqueId val="{00000008-A688-498D-8FDA-FE8CE7E8BADC}"/>
                </c:ext>
              </c:extLst>
            </c:dLbl>
            <c:dLbl>
              <c:idx val="1"/>
              <c:tx>
                <c:rich>
                  <a:bodyPr/>
                  <a:lstStyle/>
                  <a:p>
                    <a:fld id="{4080FC85-35A8-4334-B4FA-16CE8FDEF7FC}" type="CELLRANGE">
                      <a:rPr lang="en-US" sz="1100" baseline="0"/>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manualLayout>
                      <c:w val="0.49233954451345746"/>
                      <c:h val="0.35898821470845554"/>
                    </c:manualLayout>
                  </c15:layout>
                  <c15:dlblFieldTable/>
                  <c15:xForSave val="1"/>
                  <c15:showDataLabelsRange val="1"/>
                </c:ext>
                <c:ext xmlns:c16="http://schemas.microsoft.com/office/drawing/2014/chart" uri="{C3380CC4-5D6E-409C-BE32-E72D297353CC}">
                  <c16:uniqueId val="{00000009-A688-498D-8FDA-FE8CE7E8BADC}"/>
                </c:ext>
              </c:extLst>
            </c:dLbl>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Report'!$C$53:$C$54</c:f>
              <c:strCache>
                <c:ptCount val="2"/>
                <c:pt idx="0">
                  <c:v>Admitted</c:v>
                </c:pt>
                <c:pt idx="1">
                  <c:v>Not Admitted</c:v>
                </c:pt>
              </c:strCache>
            </c:strRef>
          </c:cat>
          <c:val>
            <c:numRef>
              <c:f>'Pivot Report'!$C$53:$C$54</c:f>
              <c:numCache>
                <c:formatCode>0.00</c:formatCode>
                <c:ptCount val="2"/>
                <c:pt idx="0">
                  <c:v>269</c:v>
                </c:pt>
                <c:pt idx="1">
                  <c:v>244</c:v>
                </c:pt>
              </c:numCache>
            </c:numRef>
          </c:val>
          <c:extLst>
            <c:ext xmlns:c15="http://schemas.microsoft.com/office/drawing/2012/chart" uri="{02D57815-91ED-43cb-92C2-25804820EDAC}">
              <c15:datalabelsRange>
                <c15:f>'Pivot Report'!$C$53:$C$54</c15:f>
                <c15:dlblRangeCache>
                  <c:ptCount val="2"/>
                  <c:pt idx="0">
                    <c:v>52.44%</c:v>
                  </c:pt>
                  <c:pt idx="1">
                    <c:v>47.56%</c:v>
                  </c:pt>
                </c15:dlblRangeCache>
              </c15:datalabelsRange>
            </c:ext>
            <c:ext xmlns:c16="http://schemas.microsoft.com/office/drawing/2014/chart" uri="{C3380CC4-5D6E-409C-BE32-E72D297353CC}">
              <c16:uniqueId val="{00000006-A688-498D-8FDA-FE8CE7E8BADC}"/>
            </c:ext>
          </c:extLst>
        </c:ser>
        <c:ser>
          <c:idx val="1"/>
          <c:order val="1"/>
          <c:tx>
            <c:strRef>
              <c:f>'Pivot Report'!$C$53:$C$54</c:f>
              <c:strCache>
                <c:ptCount val="1"/>
                <c:pt idx="0">
                  <c:v>Count of Patient Admission Flag2</c:v>
                </c:pt>
              </c:strCache>
            </c:strRef>
          </c:tx>
          <c:spPr>
            <a:solidFill>
              <a:schemeClr val="accent2"/>
            </a:solidFill>
            <a:ln>
              <a:noFill/>
            </a:ln>
            <a:effectLst/>
          </c:spPr>
          <c:invertIfNegative val="0"/>
          <c:cat>
            <c:strRef>
              <c:f>'Pivot Report'!$C$53:$C$54</c:f>
              <c:strCache>
                <c:ptCount val="2"/>
                <c:pt idx="0">
                  <c:v>Admitted</c:v>
                </c:pt>
                <c:pt idx="1">
                  <c:v>Not Admitted</c:v>
                </c:pt>
              </c:strCache>
            </c:strRef>
          </c:cat>
          <c:val>
            <c:numRef>
              <c:f>'Pivot Report'!$C$53:$C$54</c:f>
              <c:numCache>
                <c:formatCode>0.00%</c:formatCode>
                <c:ptCount val="2"/>
                <c:pt idx="0">
                  <c:v>0.52436647173489281</c:v>
                </c:pt>
                <c:pt idx="1">
                  <c:v>0.47563352826510719</c:v>
                </c:pt>
              </c:numCache>
            </c:numRef>
          </c:val>
          <c:extLst>
            <c:ext xmlns:c16="http://schemas.microsoft.com/office/drawing/2014/chart" uri="{C3380CC4-5D6E-409C-BE32-E72D297353CC}">
              <c16:uniqueId val="{00000007-A688-498D-8FDA-FE8CE7E8BADC}"/>
            </c:ext>
          </c:extLst>
        </c:ser>
        <c:dLbls>
          <c:showLegendKey val="0"/>
          <c:showVal val="0"/>
          <c:showCatName val="0"/>
          <c:showSerName val="0"/>
          <c:showPercent val="0"/>
          <c:showBubbleSize val="0"/>
        </c:dLbls>
        <c:gapWidth val="177"/>
        <c:axId val="234962799"/>
        <c:axId val="234957999"/>
      </c:barChart>
      <c:catAx>
        <c:axId val="234962799"/>
        <c:scaling>
          <c:orientation val="minMax"/>
        </c:scaling>
        <c:delete val="1"/>
        <c:axPos val="l"/>
        <c:numFmt formatCode="General" sourceLinked="1"/>
        <c:majorTickMark val="none"/>
        <c:minorTickMark val="none"/>
        <c:tickLblPos val="nextTo"/>
        <c:crossAx val="234957999"/>
        <c:crosses val="autoZero"/>
        <c:auto val="1"/>
        <c:lblAlgn val="ctr"/>
        <c:lblOffset val="100"/>
        <c:noMultiLvlLbl val="0"/>
      </c:catAx>
      <c:valAx>
        <c:axId val="234957999"/>
        <c:scaling>
          <c:orientation val="minMax"/>
        </c:scaling>
        <c:delete val="1"/>
        <c:axPos val="b"/>
        <c:numFmt formatCode="0.00" sourceLinked="1"/>
        <c:majorTickMark val="none"/>
        <c:minorTickMark val="none"/>
        <c:tickLblPos val="nextTo"/>
        <c:crossAx val="234962799"/>
        <c:crosses val="autoZero"/>
        <c:crossBetween val="between"/>
      </c:valAx>
      <c:spPr>
        <a:solidFill>
          <a:schemeClr val="accent1"/>
        </a:solidFill>
        <a:ln w="15875">
          <a:noFill/>
        </a:ln>
        <a:effectLst>
          <a:glow rad="101600">
            <a:schemeClr val="accent1">
              <a:alpha val="40000"/>
            </a:schemeClr>
          </a:glow>
          <a:outerShdw blurRad="50800" dist="50800" dir="5400000" sx="2000" sy="2000" algn="ctr" rotWithShape="0">
            <a:srgbClr val="000000">
              <a:alpha val="43137"/>
            </a:srgbClr>
          </a:outerShdw>
          <a:softEdge rad="635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Emergency.xlsx]Pivot Report!PivotTable5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459943653832263E-2"/>
          <c:y val="0"/>
          <c:w val="0.82191641182466868"/>
          <c:h val="0.38514783866302427"/>
        </c:manualLayout>
      </c:layout>
      <c:areaChart>
        <c:grouping val="standard"/>
        <c:varyColors val="0"/>
        <c:ser>
          <c:idx val="0"/>
          <c:order val="0"/>
          <c:tx>
            <c:strRef>
              <c:f>'Pivot Report'!$D$5</c:f>
              <c:strCache>
                <c:ptCount val="1"/>
                <c:pt idx="0">
                  <c:v>Total</c:v>
                </c:pt>
              </c:strCache>
            </c:strRef>
          </c:tx>
          <c:spPr>
            <a:solidFill>
              <a:schemeClr val="tx2">
                <a:lumMod val="50000"/>
              </a:schemeClr>
            </a:solidFill>
            <a:ln w="25400">
              <a:noFill/>
            </a:ln>
            <a:effectLst/>
          </c:spPr>
          <c:cat>
            <c:strRef>
              <c:f>'Pivot Report'!$C$6:$C$37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Report'!$D$6:$D$37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3507-4D50-A029-6EA3A81D8440}"/>
            </c:ext>
          </c:extLst>
        </c:ser>
        <c:dLbls>
          <c:showLegendKey val="0"/>
          <c:showVal val="0"/>
          <c:showCatName val="0"/>
          <c:showSerName val="0"/>
          <c:showPercent val="0"/>
          <c:showBubbleSize val="0"/>
        </c:dLbls>
        <c:axId val="1465786736"/>
        <c:axId val="1465788656"/>
      </c:areaChart>
      <c:catAx>
        <c:axId val="1465786736"/>
        <c:scaling>
          <c:orientation val="minMax"/>
        </c:scaling>
        <c:delete val="1"/>
        <c:axPos val="b"/>
        <c:numFmt formatCode="General" sourceLinked="1"/>
        <c:majorTickMark val="out"/>
        <c:minorTickMark val="none"/>
        <c:tickLblPos val="nextTo"/>
        <c:crossAx val="1465788656"/>
        <c:crosses val="autoZero"/>
        <c:auto val="1"/>
        <c:lblAlgn val="ctr"/>
        <c:lblOffset val="100"/>
        <c:noMultiLvlLbl val="0"/>
      </c:catAx>
      <c:valAx>
        <c:axId val="1465788656"/>
        <c:scaling>
          <c:orientation val="minMax"/>
        </c:scaling>
        <c:delete val="1"/>
        <c:axPos val="l"/>
        <c:numFmt formatCode="General" sourceLinked="1"/>
        <c:majorTickMark val="none"/>
        <c:minorTickMark val="none"/>
        <c:tickLblPos val="nextTo"/>
        <c:crossAx val="14657867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Emergency.xlsx]Pivot Report!PivotTable6</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w="2540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Report'!$I$5</c:f>
              <c:strCache>
                <c:ptCount val="1"/>
                <c:pt idx="0">
                  <c:v>Total</c:v>
                </c:pt>
              </c:strCache>
            </c:strRef>
          </c:tx>
          <c:spPr>
            <a:solidFill>
              <a:schemeClr val="tx2">
                <a:lumMod val="50000"/>
              </a:schemeClr>
            </a:solidFill>
            <a:ln w="25400">
              <a:noFill/>
            </a:ln>
            <a:effectLst/>
          </c:spPr>
          <c:cat>
            <c:strRef>
              <c:f>'Pivot Report'!$H$6:$H$37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Report'!$I$6:$I$37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1-3CB8-4642-A5D6-5CADC170E30C}"/>
            </c:ext>
          </c:extLst>
        </c:ser>
        <c:dLbls>
          <c:showLegendKey val="0"/>
          <c:showVal val="0"/>
          <c:showCatName val="0"/>
          <c:showSerName val="0"/>
          <c:showPercent val="0"/>
          <c:showBubbleSize val="0"/>
        </c:dLbls>
        <c:axId val="234987759"/>
        <c:axId val="234993039"/>
      </c:areaChart>
      <c:catAx>
        <c:axId val="234987759"/>
        <c:scaling>
          <c:orientation val="minMax"/>
        </c:scaling>
        <c:delete val="1"/>
        <c:axPos val="b"/>
        <c:numFmt formatCode="General" sourceLinked="1"/>
        <c:majorTickMark val="out"/>
        <c:minorTickMark val="none"/>
        <c:tickLblPos val="nextTo"/>
        <c:crossAx val="234993039"/>
        <c:crosses val="autoZero"/>
        <c:auto val="1"/>
        <c:lblAlgn val="ctr"/>
        <c:lblOffset val="100"/>
        <c:noMultiLvlLbl val="0"/>
      </c:catAx>
      <c:valAx>
        <c:axId val="234993039"/>
        <c:scaling>
          <c:orientation val="minMax"/>
        </c:scaling>
        <c:delete val="1"/>
        <c:axPos val="l"/>
        <c:numFmt formatCode="0.00" sourceLinked="1"/>
        <c:majorTickMark val="none"/>
        <c:minorTickMark val="none"/>
        <c:tickLblPos val="nextTo"/>
        <c:crossAx val="2349877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Emergency.xlsx]Pivot Report!PivotTable7</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w="2540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743264850514386E-3"/>
          <c:y val="1.6226096737907762E-2"/>
          <c:w val="0.99202551834130781"/>
          <c:h val="0.8555686021703427"/>
        </c:manualLayout>
      </c:layout>
      <c:areaChart>
        <c:grouping val="standard"/>
        <c:varyColors val="0"/>
        <c:ser>
          <c:idx val="0"/>
          <c:order val="0"/>
          <c:tx>
            <c:strRef>
              <c:f>'Pivot Report'!$L$6</c:f>
              <c:strCache>
                <c:ptCount val="1"/>
                <c:pt idx="0">
                  <c:v>Total</c:v>
                </c:pt>
              </c:strCache>
            </c:strRef>
          </c:tx>
          <c:spPr>
            <a:solidFill>
              <a:schemeClr val="tx2">
                <a:lumMod val="50000"/>
              </a:schemeClr>
            </a:solidFill>
            <a:ln w="25400">
              <a:noFill/>
            </a:ln>
            <a:effectLst/>
          </c:spPr>
          <c:cat>
            <c:strRef>
              <c:f>'Pivot Report'!$K$7:$K$38</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Report'!$L$7:$L$38</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1-C389-457F-B815-78385C02368C}"/>
            </c:ext>
          </c:extLst>
        </c:ser>
        <c:dLbls>
          <c:showLegendKey val="0"/>
          <c:showVal val="0"/>
          <c:showCatName val="0"/>
          <c:showSerName val="0"/>
          <c:showPercent val="0"/>
          <c:showBubbleSize val="0"/>
        </c:dLbls>
        <c:axId val="544386687"/>
        <c:axId val="544391487"/>
      </c:areaChart>
      <c:catAx>
        <c:axId val="544386687"/>
        <c:scaling>
          <c:orientation val="minMax"/>
        </c:scaling>
        <c:delete val="1"/>
        <c:axPos val="b"/>
        <c:numFmt formatCode="General" sourceLinked="1"/>
        <c:majorTickMark val="out"/>
        <c:minorTickMark val="none"/>
        <c:tickLblPos val="nextTo"/>
        <c:crossAx val="544391487"/>
        <c:crosses val="autoZero"/>
        <c:auto val="1"/>
        <c:lblAlgn val="ctr"/>
        <c:lblOffset val="100"/>
        <c:noMultiLvlLbl val="0"/>
      </c:catAx>
      <c:valAx>
        <c:axId val="544391487"/>
        <c:scaling>
          <c:orientation val="minMax"/>
        </c:scaling>
        <c:delete val="1"/>
        <c:axPos val="l"/>
        <c:numFmt formatCode="0.00" sourceLinked="1"/>
        <c:majorTickMark val="none"/>
        <c:minorTickMark val="none"/>
        <c:tickLblPos val="nextTo"/>
        <c:crossAx val="5443866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Emergency.xlsx]Pivot Report!PivotTable9</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613231552162849E-2"/>
          <c:y val="6.9708491761723695E-2"/>
          <c:w val="0.90139949109414763"/>
          <c:h val="0.64386395616897696"/>
        </c:manualLayout>
      </c:layout>
      <c:barChart>
        <c:barDir val="col"/>
        <c:grouping val="clustered"/>
        <c:varyColors val="0"/>
        <c:ser>
          <c:idx val="0"/>
          <c:order val="0"/>
          <c:tx>
            <c:strRef>
              <c:f>'Pivot Report'!$B$59</c:f>
              <c:strCache>
                <c:ptCount val="1"/>
                <c:pt idx="0">
                  <c:v>Total</c:v>
                </c:pt>
              </c:strCache>
            </c:strRef>
          </c:tx>
          <c:spPr>
            <a:solidFill>
              <a:schemeClr val="tx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Report'!$A$60:$A$68</c:f>
              <c:strCache>
                <c:ptCount val="8"/>
                <c:pt idx="0">
                  <c:v>0-9</c:v>
                </c:pt>
                <c:pt idx="1">
                  <c:v>10-19</c:v>
                </c:pt>
                <c:pt idx="2">
                  <c:v>20-29</c:v>
                </c:pt>
                <c:pt idx="3">
                  <c:v>30-39</c:v>
                </c:pt>
                <c:pt idx="4">
                  <c:v>40-49</c:v>
                </c:pt>
                <c:pt idx="5">
                  <c:v>50-59</c:v>
                </c:pt>
                <c:pt idx="6">
                  <c:v>60-69</c:v>
                </c:pt>
                <c:pt idx="7">
                  <c:v>70-79</c:v>
                </c:pt>
              </c:strCache>
            </c:strRef>
          </c:cat>
          <c:val>
            <c:numRef>
              <c:f>'Pivot Report'!$B$60:$B$68</c:f>
              <c:numCache>
                <c:formatCode>0.00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1-5A56-419A-84D8-D687DDC8E66A}"/>
            </c:ext>
          </c:extLst>
        </c:ser>
        <c:dLbls>
          <c:dLblPos val="outEnd"/>
          <c:showLegendKey val="0"/>
          <c:showVal val="1"/>
          <c:showCatName val="0"/>
          <c:showSerName val="0"/>
          <c:showPercent val="0"/>
          <c:showBubbleSize val="0"/>
        </c:dLbls>
        <c:gapWidth val="87"/>
        <c:overlap val="-27"/>
        <c:axId val="234960879"/>
        <c:axId val="234951279"/>
      </c:barChart>
      <c:catAx>
        <c:axId val="23496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4951279"/>
        <c:crosses val="autoZero"/>
        <c:auto val="1"/>
        <c:lblAlgn val="ctr"/>
        <c:lblOffset val="100"/>
        <c:noMultiLvlLbl val="0"/>
      </c:catAx>
      <c:valAx>
        <c:axId val="234951279"/>
        <c:scaling>
          <c:orientation val="minMax"/>
        </c:scaling>
        <c:delete val="1"/>
        <c:axPos val="l"/>
        <c:numFmt formatCode="0.00" sourceLinked="1"/>
        <c:majorTickMark val="none"/>
        <c:minorTickMark val="none"/>
        <c:tickLblPos val="nextTo"/>
        <c:crossAx val="234960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Emergency.xlsx]Pivot Report!PivotTable10</c:name>
    <c:fmtId val="5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2">
              <a:lumMod val="50000"/>
            </a:schemeClr>
          </a:solidFill>
          <a:ln>
            <a:noFill/>
          </a:ln>
          <a:effectLst>
            <a:outerShdw blurRad="57150" dist="19050" dir="5400000" algn="ctr" rotWithShape="0">
              <a:srgbClr val="000000">
                <a:alpha val="63000"/>
              </a:srgbClr>
            </a:outerShdw>
          </a:effectLst>
        </c:spPr>
        <c:dLbl>
          <c:idx val="0"/>
          <c:layout>
            <c:manualLayout>
              <c:x val="-0.21632133483314586"/>
              <c:y val="-8.82041718469402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8685714285714281"/>
                  <c:h val="0.21903508771929825"/>
                </c:manualLayout>
              </c15:layout>
            </c:ext>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2971428571428568"/>
                  <c:h val="0.21903508771929825"/>
                </c:manualLayout>
              </c15:layout>
            </c:ext>
          </c:extLst>
        </c:dLbl>
      </c:pivotFmt>
    </c:pivotFmts>
    <c:plotArea>
      <c:layout>
        <c:manualLayout>
          <c:layoutTarget val="inner"/>
          <c:xMode val="edge"/>
          <c:yMode val="edge"/>
          <c:x val="0.14537382827146605"/>
          <c:y val="0.17534051664594555"/>
          <c:w val="0.68584962694269969"/>
          <c:h val="0.64253280839895022"/>
        </c:manualLayout>
      </c:layout>
      <c:pieChart>
        <c:varyColors val="1"/>
        <c:ser>
          <c:idx val="0"/>
          <c:order val="0"/>
          <c:tx>
            <c:strRef>
              <c:f>'Pivot Report'!$B$82</c:f>
              <c:strCache>
                <c:ptCount val="1"/>
                <c:pt idx="0">
                  <c:v>Total</c:v>
                </c:pt>
              </c:strCache>
            </c:strRef>
          </c:tx>
          <c:dPt>
            <c:idx val="0"/>
            <c:bubble3D val="0"/>
            <c:spPr>
              <a:solidFill>
                <a:schemeClr val="tx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F99-421F-90FE-3EA7E1F1FF2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EF99-421F-90FE-3EA7E1F1FF2B}"/>
              </c:ext>
            </c:extLst>
          </c:dPt>
          <c:dLbls>
            <c:dLbl>
              <c:idx val="0"/>
              <c:layout>
                <c:manualLayout>
                  <c:x val="-0.21632133483314586"/>
                  <c:y val="-8.8204171846940266E-2"/>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0.28685714285714281"/>
                      <c:h val="0.21903508771929825"/>
                    </c:manualLayout>
                  </c15:layout>
                </c:ext>
                <c:ext xmlns:c16="http://schemas.microsoft.com/office/drawing/2014/chart" uri="{C3380CC4-5D6E-409C-BE32-E72D297353CC}">
                  <c16:uniqueId val="{00000007-EF99-421F-90FE-3EA7E1F1FF2B}"/>
                </c:ext>
              </c:extLst>
            </c:dLbl>
            <c:dLbl>
              <c:idx val="1"/>
              <c:dLblPos val="inEnd"/>
              <c:showLegendKey val="0"/>
              <c:showVal val="0"/>
              <c:showCatName val="0"/>
              <c:showSerName val="0"/>
              <c:showPercent val="1"/>
              <c:showBubbleSize val="0"/>
              <c:extLst>
                <c:ext xmlns:c15="http://schemas.microsoft.com/office/drawing/2012/chart" uri="{CE6537A1-D6FC-4f65-9D91-7224C49458BB}">
                  <c15:layout>
                    <c:manualLayout>
                      <c:w val="0.22971428571428568"/>
                      <c:h val="0.21903508771929825"/>
                    </c:manualLayout>
                  </c15:layout>
                </c:ext>
                <c:ext xmlns:c16="http://schemas.microsoft.com/office/drawing/2014/chart" uri="{C3380CC4-5D6E-409C-BE32-E72D297353CC}">
                  <c16:uniqueId val="{00000008-EF99-421F-90FE-3EA7E1F1FF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Report'!$A$83:$A$85</c:f>
              <c:strCache>
                <c:ptCount val="2"/>
                <c:pt idx="0">
                  <c:v>Delay</c:v>
                </c:pt>
                <c:pt idx="1">
                  <c:v>ontime</c:v>
                </c:pt>
              </c:strCache>
            </c:strRef>
          </c:cat>
          <c:val>
            <c:numRef>
              <c:f>'Pivot Report'!$B$83:$B$85</c:f>
              <c:numCache>
                <c:formatCode>0</c:formatCode>
                <c:ptCount val="2"/>
                <c:pt idx="0">
                  <c:v>316</c:v>
                </c:pt>
                <c:pt idx="1">
                  <c:v>197</c:v>
                </c:pt>
              </c:numCache>
            </c:numRef>
          </c:val>
          <c:extLst>
            <c:ext xmlns:c16="http://schemas.microsoft.com/office/drawing/2014/chart" uri="{C3380CC4-5D6E-409C-BE32-E72D297353CC}">
              <c16:uniqueId val="{00000005-EF99-421F-90FE-3EA7E1F1FF2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5294713160854895"/>
          <c:y val="4.7832573559883962E-2"/>
          <c:w val="0.65347090234410354"/>
          <c:h val="9.410394145647048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Emergency.xlsx]Pivot Report!PivotTable11</c:name>
    <c:fmtId val="6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bg2">
              <a:lumMod val="10000"/>
            </a:schemeClr>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F926B98D-B136-4583-997D-36DAF0E1F825}"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2AE38138-F351-4E1B-8F16-B5745E182E7B}" type="PERCENTAGE">
                  <a:rPr lang="en-US" baseline="0"/>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0040595887052581"/>
          <c:y val="0.15514704892657649"/>
          <c:w val="0.64044157941795732"/>
          <c:h val="0.59774547412342682"/>
        </c:manualLayout>
      </c:layout>
      <c:doughnutChart>
        <c:varyColors val="1"/>
        <c:ser>
          <c:idx val="0"/>
          <c:order val="0"/>
          <c:tx>
            <c:strRef>
              <c:f>'Pivot Report'!$B$88</c:f>
              <c:strCache>
                <c:ptCount val="1"/>
                <c:pt idx="0">
                  <c:v>Total</c:v>
                </c:pt>
              </c:strCache>
            </c:strRef>
          </c:tx>
          <c:dPt>
            <c:idx val="0"/>
            <c:bubble3D val="0"/>
            <c:spPr>
              <a:solidFill>
                <a:schemeClr val="bg2">
                  <a:lumMod val="10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dLbl>
              <c:idx val="0"/>
              <c:tx>
                <c:rich>
                  <a:bodyPr/>
                  <a:lstStyle/>
                  <a:p>
                    <a:r>
                      <a:rPr lang="en-US" baseline="0"/>
                      <a:t> </a:t>
                    </a:r>
                    <a:fld id="{F926B98D-B136-4583-997D-36DAF0E1F825}"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dLbl>
              <c:idx val="1"/>
              <c:tx>
                <c:rich>
                  <a:bodyPr/>
                  <a:lstStyle/>
                  <a:p>
                    <a:fld id="{2AE38138-F351-4E1B-8F16-B5745E182E7B}"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Report'!$A$89:$A$91</c:f>
              <c:strCache>
                <c:ptCount val="2"/>
                <c:pt idx="0">
                  <c:v>Female</c:v>
                </c:pt>
                <c:pt idx="1">
                  <c:v>Male</c:v>
                </c:pt>
              </c:strCache>
            </c:strRef>
          </c:cat>
          <c:val>
            <c:numRef>
              <c:f>'Pivot Report'!$B$89:$B$91</c:f>
              <c:numCache>
                <c:formatCode>0</c:formatCode>
                <c:ptCount val="2"/>
                <c:pt idx="0">
                  <c:v>241</c:v>
                </c:pt>
                <c:pt idx="1">
                  <c:v>272</c:v>
                </c:pt>
              </c:numCache>
            </c:numRef>
          </c:val>
          <c:extLst>
            <c:ext xmlns:c16="http://schemas.microsoft.com/office/drawing/2014/chart" uri="{C3380CC4-5D6E-409C-BE32-E72D297353CC}">
              <c16:uniqueId val="{00000005-4C4B-4F78-811F-EFFEB0967EC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ayout>
        <c:manualLayout>
          <c:xMode val="edge"/>
          <c:yMode val="edge"/>
          <c:x val="4.6741513080095755E-2"/>
          <c:y val="7.7003836058954179E-3"/>
          <c:w val="0.85569279801563269"/>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Emergency.xlsx]Pivot Report!PivotTable12</c:name>
    <c:fmtId val="6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35794144516466"/>
          <c:y val="5.2986512524084775E-2"/>
          <c:w val="0.58577601832920057"/>
          <c:h val="0.82658959537572252"/>
        </c:manualLayout>
      </c:layout>
      <c:barChart>
        <c:barDir val="bar"/>
        <c:grouping val="clustered"/>
        <c:varyColors val="0"/>
        <c:ser>
          <c:idx val="0"/>
          <c:order val="0"/>
          <c:tx>
            <c:strRef>
              <c:f>'Pivot Report'!$B$93</c:f>
              <c:strCache>
                <c:ptCount val="1"/>
                <c:pt idx="0">
                  <c:v>Total</c:v>
                </c:pt>
              </c:strCache>
            </c:strRef>
          </c:tx>
          <c:spPr>
            <a:solidFill>
              <a:schemeClr val="bg2">
                <a:lumMod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Report'!$A$94:$A$102</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Report'!$B$94:$B$102</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1-A6BE-4CBE-9B3D-59CB33F9C12E}"/>
            </c:ext>
          </c:extLst>
        </c:ser>
        <c:dLbls>
          <c:dLblPos val="outEnd"/>
          <c:showLegendKey val="0"/>
          <c:showVal val="1"/>
          <c:showCatName val="0"/>
          <c:showSerName val="0"/>
          <c:showPercent val="0"/>
          <c:showBubbleSize val="0"/>
        </c:dLbls>
        <c:gapWidth val="37"/>
        <c:axId val="600889855"/>
        <c:axId val="600890335"/>
      </c:barChart>
      <c:catAx>
        <c:axId val="600889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00890335"/>
        <c:crosses val="autoZero"/>
        <c:auto val="1"/>
        <c:lblAlgn val="ctr"/>
        <c:lblOffset val="100"/>
        <c:noMultiLvlLbl val="0"/>
      </c:catAx>
      <c:valAx>
        <c:axId val="600890335"/>
        <c:scaling>
          <c:orientation val="minMax"/>
        </c:scaling>
        <c:delete val="1"/>
        <c:axPos val="b"/>
        <c:numFmt formatCode="0" sourceLinked="1"/>
        <c:majorTickMark val="none"/>
        <c:minorTickMark val="none"/>
        <c:tickLblPos val="nextTo"/>
        <c:crossAx val="600889855"/>
        <c:crosses val="autoZero"/>
        <c:crossBetween val="between"/>
      </c:valAx>
      <c:spPr>
        <a:noFill/>
        <a:ln w="28575">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of Hospital Emergency.xlsx]Pivot Report!PivotTable5</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Report'!$C$6:$C$37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Report'!$D$6:$D$37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1-0DD5-4B8A-A75C-35A85CAF556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65786736"/>
        <c:axId val="1465788656"/>
      </c:areaChart>
      <c:catAx>
        <c:axId val="146578673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65788656"/>
        <c:crosses val="autoZero"/>
        <c:auto val="1"/>
        <c:lblAlgn val="ctr"/>
        <c:lblOffset val="100"/>
        <c:noMultiLvlLbl val="0"/>
      </c:catAx>
      <c:valAx>
        <c:axId val="1465788656"/>
        <c:scaling>
          <c:orientation val="minMax"/>
        </c:scaling>
        <c:delete val="1"/>
        <c:axPos val="l"/>
        <c:numFmt formatCode="General" sourceLinked="1"/>
        <c:majorTickMark val="out"/>
        <c:minorTickMark val="none"/>
        <c:tickLblPos val="nextTo"/>
        <c:crossAx val="14657867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Sheet5!A1"/><Relationship Id="rId13" Type="http://schemas.openxmlformats.org/officeDocument/2006/relationships/chart" Target="../charts/chart5.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image" Target="../media/image8.emf"/><Relationship Id="rId2" Type="http://schemas.openxmlformats.org/officeDocument/2006/relationships/image" Target="../media/image2.pn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5" Type="http://schemas.openxmlformats.org/officeDocument/2006/relationships/chart" Target="../charts/chart7.xml"/><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7620</xdr:colOff>
      <xdr:row>48</xdr:row>
      <xdr:rowOff>0</xdr:rowOff>
    </xdr:from>
    <xdr:to>
      <xdr:col>4</xdr:col>
      <xdr:colOff>15240</xdr:colOff>
      <xdr:row>50</xdr:row>
      <xdr:rowOff>22860</xdr:rowOff>
    </xdr:to>
    <xdr:graphicFrame macro="">
      <xdr:nvGraphicFramePr>
        <xdr:cNvPr id="6" name="Chart 5">
          <a:extLst>
            <a:ext uri="{FF2B5EF4-FFF2-40B4-BE49-F238E27FC236}">
              <a16:creationId xmlns:a16="http://schemas.microsoft.com/office/drawing/2014/main" id="{E4A24694-4F38-5C10-A5FF-4810484E67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83820</xdr:colOff>
      <xdr:row>0</xdr:row>
      <xdr:rowOff>114300</xdr:rowOff>
    </xdr:from>
    <xdr:to>
      <xdr:col>5</xdr:col>
      <xdr:colOff>563880</xdr:colOff>
      <xdr:row>3</xdr:row>
      <xdr:rowOff>129540</xdr:rowOff>
    </xdr:to>
    <xdr:sp macro="" textlink="">
      <xdr:nvSpPr>
        <xdr:cNvPr id="2" name="Rectangle: Rounded Corners 1">
          <a:extLst>
            <a:ext uri="{FF2B5EF4-FFF2-40B4-BE49-F238E27FC236}">
              <a16:creationId xmlns:a16="http://schemas.microsoft.com/office/drawing/2014/main" id="{1BDE4E27-40AB-1AB9-9AD8-4C32546C7025}"/>
            </a:ext>
          </a:extLst>
        </xdr:cNvPr>
        <xdr:cNvSpPr/>
      </xdr:nvSpPr>
      <xdr:spPr>
        <a:xfrm>
          <a:off x="83820" y="114300"/>
          <a:ext cx="3528060" cy="5638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7620</xdr:colOff>
      <xdr:row>0</xdr:row>
      <xdr:rowOff>114300</xdr:rowOff>
    </xdr:from>
    <xdr:to>
      <xdr:col>8</xdr:col>
      <xdr:colOff>129540</xdr:colOff>
      <xdr:row>3</xdr:row>
      <xdr:rowOff>129540</xdr:rowOff>
    </xdr:to>
    <xdr:sp macro="" textlink="">
      <xdr:nvSpPr>
        <xdr:cNvPr id="3" name="Rectangle: Rounded Corners 2">
          <a:extLst>
            <a:ext uri="{FF2B5EF4-FFF2-40B4-BE49-F238E27FC236}">
              <a16:creationId xmlns:a16="http://schemas.microsoft.com/office/drawing/2014/main" id="{8EC4009B-7302-87B8-A6B6-00F60B6589CE}"/>
            </a:ext>
          </a:extLst>
        </xdr:cNvPr>
        <xdr:cNvSpPr/>
      </xdr:nvSpPr>
      <xdr:spPr>
        <a:xfrm>
          <a:off x="3665220" y="114300"/>
          <a:ext cx="1341120" cy="5638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198120</xdr:colOff>
      <xdr:row>0</xdr:row>
      <xdr:rowOff>76200</xdr:rowOff>
    </xdr:from>
    <xdr:to>
      <xdr:col>10</xdr:col>
      <xdr:colOff>342900</xdr:colOff>
      <xdr:row>8</xdr:row>
      <xdr:rowOff>91440</xdr:rowOff>
    </xdr:to>
    <xdr:sp macro="" textlink="">
      <xdr:nvSpPr>
        <xdr:cNvPr id="4" name="Rectangle: Rounded Corners 3">
          <a:extLst>
            <a:ext uri="{FF2B5EF4-FFF2-40B4-BE49-F238E27FC236}">
              <a16:creationId xmlns:a16="http://schemas.microsoft.com/office/drawing/2014/main" id="{1BEDC2CD-591D-65B0-1A22-E5A23E4296EE}"/>
            </a:ext>
          </a:extLst>
        </xdr:cNvPr>
        <xdr:cNvSpPr/>
      </xdr:nvSpPr>
      <xdr:spPr>
        <a:xfrm>
          <a:off x="5074920" y="76200"/>
          <a:ext cx="1363980" cy="1478280"/>
        </a:xfrm>
        <a:prstGeom prst="roundRect">
          <a:avLst>
            <a:gd name="adj" fmla="val 99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396240</xdr:colOff>
      <xdr:row>0</xdr:row>
      <xdr:rowOff>83820</xdr:rowOff>
    </xdr:from>
    <xdr:to>
      <xdr:col>12</xdr:col>
      <xdr:colOff>571500</xdr:colOff>
      <xdr:row>8</xdr:row>
      <xdr:rowOff>106680</xdr:rowOff>
    </xdr:to>
    <xdr:sp macro="" textlink="">
      <xdr:nvSpPr>
        <xdr:cNvPr id="5" name="Rectangle: Rounded Corners 4">
          <a:extLst>
            <a:ext uri="{FF2B5EF4-FFF2-40B4-BE49-F238E27FC236}">
              <a16:creationId xmlns:a16="http://schemas.microsoft.com/office/drawing/2014/main" id="{CCFAC425-402A-7CFA-85C2-B0BBB6C7BA79}"/>
            </a:ext>
          </a:extLst>
        </xdr:cNvPr>
        <xdr:cNvSpPr/>
      </xdr:nvSpPr>
      <xdr:spPr>
        <a:xfrm>
          <a:off x="6492240" y="83820"/>
          <a:ext cx="1394460" cy="1485900"/>
        </a:xfrm>
        <a:prstGeom prst="roundRect">
          <a:avLst>
            <a:gd name="adj" fmla="val 1011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83820</xdr:colOff>
      <xdr:row>4</xdr:row>
      <xdr:rowOff>22860</xdr:rowOff>
    </xdr:from>
    <xdr:to>
      <xdr:col>1</xdr:col>
      <xdr:colOff>312420</xdr:colOff>
      <xdr:row>23</xdr:row>
      <xdr:rowOff>129540</xdr:rowOff>
    </xdr:to>
    <xdr:sp macro="" textlink="">
      <xdr:nvSpPr>
        <xdr:cNvPr id="6" name="Rectangle: Rounded Corners 5">
          <a:extLst>
            <a:ext uri="{FF2B5EF4-FFF2-40B4-BE49-F238E27FC236}">
              <a16:creationId xmlns:a16="http://schemas.microsoft.com/office/drawing/2014/main" id="{56563146-F294-80DB-F7E2-EC0252B76E24}"/>
            </a:ext>
          </a:extLst>
        </xdr:cNvPr>
        <xdr:cNvSpPr/>
      </xdr:nvSpPr>
      <xdr:spPr>
        <a:xfrm>
          <a:off x="83820" y="754380"/>
          <a:ext cx="838200" cy="3581400"/>
        </a:xfrm>
        <a:prstGeom prst="roundRect">
          <a:avLst>
            <a:gd name="adj" fmla="val 394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365761</xdr:colOff>
      <xdr:row>4</xdr:row>
      <xdr:rowOff>45720</xdr:rowOff>
    </xdr:from>
    <xdr:to>
      <xdr:col>3</xdr:col>
      <xdr:colOff>447291</xdr:colOff>
      <xdr:row>8</xdr:row>
      <xdr:rowOff>84108</xdr:rowOff>
    </xdr:to>
    <xdr:sp macro="" textlink="">
      <xdr:nvSpPr>
        <xdr:cNvPr id="7" name="Rectangle: Rounded Corners 6">
          <a:extLst>
            <a:ext uri="{FF2B5EF4-FFF2-40B4-BE49-F238E27FC236}">
              <a16:creationId xmlns:a16="http://schemas.microsoft.com/office/drawing/2014/main" id="{5DFFD7F8-3B1B-C2AE-8338-E199E54DDADF}"/>
            </a:ext>
          </a:extLst>
        </xdr:cNvPr>
        <xdr:cNvSpPr/>
      </xdr:nvSpPr>
      <xdr:spPr>
        <a:xfrm>
          <a:off x="975361" y="777240"/>
          <a:ext cx="1300730" cy="769908"/>
        </a:xfrm>
        <a:prstGeom prst="roundRect">
          <a:avLst>
            <a:gd name="adj" fmla="val 578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500226</xdr:colOff>
      <xdr:row>4</xdr:row>
      <xdr:rowOff>45719</xdr:rowOff>
    </xdr:from>
    <xdr:to>
      <xdr:col>5</xdr:col>
      <xdr:colOff>559069</xdr:colOff>
      <xdr:row>8</xdr:row>
      <xdr:rowOff>84107</xdr:rowOff>
    </xdr:to>
    <xdr:sp macro="" textlink="">
      <xdr:nvSpPr>
        <xdr:cNvPr id="8" name="Rectangle: Rounded Corners 7">
          <a:extLst>
            <a:ext uri="{FF2B5EF4-FFF2-40B4-BE49-F238E27FC236}">
              <a16:creationId xmlns:a16="http://schemas.microsoft.com/office/drawing/2014/main" id="{3E1723C6-82F9-785E-8FBE-36E32A8AEE3D}"/>
            </a:ext>
          </a:extLst>
        </xdr:cNvPr>
        <xdr:cNvSpPr/>
      </xdr:nvSpPr>
      <xdr:spPr>
        <a:xfrm>
          <a:off x="2329026" y="777239"/>
          <a:ext cx="1278043" cy="769908"/>
        </a:xfrm>
        <a:prstGeom prst="roundRect">
          <a:avLst>
            <a:gd name="adj" fmla="val 874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17530</xdr:colOff>
      <xdr:row>4</xdr:row>
      <xdr:rowOff>53052</xdr:rowOff>
    </xdr:from>
    <xdr:to>
      <xdr:col>8</xdr:col>
      <xdr:colOff>121919</xdr:colOff>
      <xdr:row>8</xdr:row>
      <xdr:rowOff>91440</xdr:rowOff>
    </xdr:to>
    <xdr:sp macro="" textlink="">
      <xdr:nvSpPr>
        <xdr:cNvPr id="9" name="Rectangle: Rounded Corners 8">
          <a:extLst>
            <a:ext uri="{FF2B5EF4-FFF2-40B4-BE49-F238E27FC236}">
              <a16:creationId xmlns:a16="http://schemas.microsoft.com/office/drawing/2014/main" id="{1DEE0C76-C42A-A40A-F2F9-0C7E6F316641}"/>
            </a:ext>
          </a:extLst>
        </xdr:cNvPr>
        <xdr:cNvSpPr/>
      </xdr:nvSpPr>
      <xdr:spPr>
        <a:xfrm>
          <a:off x="3675130" y="784572"/>
          <a:ext cx="1323589" cy="769908"/>
        </a:xfrm>
        <a:prstGeom prst="roundRect">
          <a:avLst>
            <a:gd name="adj" fmla="val 973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396240</xdr:colOff>
      <xdr:row>12</xdr:row>
      <xdr:rowOff>144780</xdr:rowOff>
    </xdr:from>
    <xdr:to>
      <xdr:col>8</xdr:col>
      <xdr:colOff>144780</xdr:colOff>
      <xdr:row>23</xdr:row>
      <xdr:rowOff>144780</xdr:rowOff>
    </xdr:to>
    <xdr:sp macro="" textlink="">
      <xdr:nvSpPr>
        <xdr:cNvPr id="11" name="Rectangle: Rounded Corners 10">
          <a:extLst>
            <a:ext uri="{FF2B5EF4-FFF2-40B4-BE49-F238E27FC236}">
              <a16:creationId xmlns:a16="http://schemas.microsoft.com/office/drawing/2014/main" id="{56EA0222-89EB-9029-AA6F-EA1CAE6D290A}"/>
            </a:ext>
          </a:extLst>
        </xdr:cNvPr>
        <xdr:cNvSpPr/>
      </xdr:nvSpPr>
      <xdr:spPr>
        <a:xfrm>
          <a:off x="1005840" y="2339340"/>
          <a:ext cx="4015740" cy="2011680"/>
        </a:xfrm>
        <a:prstGeom prst="roundRect">
          <a:avLst>
            <a:gd name="adj" fmla="val 348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213360</xdr:colOff>
      <xdr:row>8</xdr:row>
      <xdr:rowOff>167640</xdr:rowOff>
    </xdr:from>
    <xdr:to>
      <xdr:col>12</xdr:col>
      <xdr:colOff>548640</xdr:colOff>
      <xdr:row>23</xdr:row>
      <xdr:rowOff>152400</xdr:rowOff>
    </xdr:to>
    <xdr:sp macro="" textlink="">
      <xdr:nvSpPr>
        <xdr:cNvPr id="13" name="Rectangle: Rounded Corners 12">
          <a:extLst>
            <a:ext uri="{FF2B5EF4-FFF2-40B4-BE49-F238E27FC236}">
              <a16:creationId xmlns:a16="http://schemas.microsoft.com/office/drawing/2014/main" id="{BA6F0898-88C8-666D-09F0-2740D2BFEE34}"/>
            </a:ext>
          </a:extLst>
        </xdr:cNvPr>
        <xdr:cNvSpPr/>
      </xdr:nvSpPr>
      <xdr:spPr>
        <a:xfrm>
          <a:off x="5090160" y="1630680"/>
          <a:ext cx="2773680" cy="2727960"/>
        </a:xfrm>
        <a:prstGeom prst="roundRect">
          <a:avLst>
            <a:gd name="adj" fmla="val 342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419100</xdr:colOff>
      <xdr:row>1</xdr:row>
      <xdr:rowOff>1516</xdr:rowOff>
    </xdr:from>
    <xdr:ext cx="3299460" cy="172227"/>
    <xdr:sp macro="" textlink="">
      <xdr:nvSpPr>
        <xdr:cNvPr id="18" name="TextBox 17">
          <a:extLst>
            <a:ext uri="{FF2B5EF4-FFF2-40B4-BE49-F238E27FC236}">
              <a16:creationId xmlns:a16="http://schemas.microsoft.com/office/drawing/2014/main" id="{05813A9D-1302-FAA0-4429-6515384AEDDA}"/>
            </a:ext>
          </a:extLst>
        </xdr:cNvPr>
        <xdr:cNvSpPr txBox="1"/>
      </xdr:nvSpPr>
      <xdr:spPr>
        <a:xfrm>
          <a:off x="419100" y="184396"/>
          <a:ext cx="3299460" cy="172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r>
            <a:rPr lang="en-IN" sz="14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lumMod val="20000"/>
                  <a:lumOff val="80000"/>
                </a:schemeClr>
              </a:solidFill>
            </a:rPr>
            <a:t>Hospital</a:t>
          </a:r>
          <a:r>
            <a:rPr lang="en-IN" sz="14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lumMod val="20000"/>
                  <a:lumOff val="80000"/>
                </a:schemeClr>
              </a:solidFill>
            </a:rPr>
            <a:t> Emergency Room Dashboard</a:t>
          </a:r>
          <a:endParaRPr lang="en-IN" sz="14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lumMod val="20000"/>
                <a:lumOff val="80000"/>
              </a:schemeClr>
            </a:solidFill>
          </a:endParaRPr>
        </a:p>
      </xdr:txBody>
    </xdr:sp>
    <xdr:clientData/>
  </xdr:oneCellAnchor>
  <xdr:twoCellAnchor editAs="oneCell">
    <xdr:from>
      <xdr:col>0</xdr:col>
      <xdr:colOff>114300</xdr:colOff>
      <xdr:row>0</xdr:row>
      <xdr:rowOff>67692</xdr:rowOff>
    </xdr:from>
    <xdr:to>
      <xdr:col>1</xdr:col>
      <xdr:colOff>83820</xdr:colOff>
      <xdr:row>3</xdr:row>
      <xdr:rowOff>160019</xdr:rowOff>
    </xdr:to>
    <xdr:pic>
      <xdr:nvPicPr>
        <xdr:cNvPr id="20" name="Picture 19">
          <a:extLst>
            <a:ext uri="{FF2B5EF4-FFF2-40B4-BE49-F238E27FC236}">
              <a16:creationId xmlns:a16="http://schemas.microsoft.com/office/drawing/2014/main" id="{968E4A9F-A67A-E1DB-B0EB-130DAEF75AE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008" r="18182"/>
        <a:stretch>
          <a:fillRect/>
        </a:stretch>
      </xdr:blipFill>
      <xdr:spPr>
        <a:xfrm>
          <a:off x="114300" y="67692"/>
          <a:ext cx="579120" cy="640967"/>
        </a:xfrm>
        <a:prstGeom prst="rect">
          <a:avLst/>
        </a:prstGeom>
      </xdr:spPr>
    </xdr:pic>
    <xdr:clientData/>
  </xdr:twoCellAnchor>
  <xdr:oneCellAnchor>
    <xdr:from>
      <xdr:col>0</xdr:col>
      <xdr:colOff>510540</xdr:colOff>
      <xdr:row>2</xdr:row>
      <xdr:rowOff>39616</xdr:rowOff>
    </xdr:from>
    <xdr:ext cx="3299460" cy="172227"/>
    <xdr:sp macro="" textlink="">
      <xdr:nvSpPr>
        <xdr:cNvPr id="21" name="TextBox 20">
          <a:extLst>
            <a:ext uri="{FF2B5EF4-FFF2-40B4-BE49-F238E27FC236}">
              <a16:creationId xmlns:a16="http://schemas.microsoft.com/office/drawing/2014/main" id="{41D48A3E-BD54-75E6-F458-0F45B19ADF66}"/>
            </a:ext>
          </a:extLst>
        </xdr:cNvPr>
        <xdr:cNvSpPr txBox="1"/>
      </xdr:nvSpPr>
      <xdr:spPr>
        <a:xfrm>
          <a:off x="510540" y="405376"/>
          <a:ext cx="3299460" cy="172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r>
            <a:rPr lang="en-IN" sz="12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lumMod val="20000"/>
                  <a:lumOff val="80000"/>
                </a:schemeClr>
              </a:solidFill>
            </a:rPr>
            <a:t>Monthly Report</a:t>
          </a:r>
        </a:p>
      </xdr:txBody>
    </xdr:sp>
    <xdr:clientData/>
  </xdr:oneCellAnchor>
  <xdr:oneCellAnchor>
    <xdr:from>
      <xdr:col>0</xdr:col>
      <xdr:colOff>0</xdr:colOff>
      <xdr:row>4</xdr:row>
      <xdr:rowOff>169156</xdr:rowOff>
    </xdr:from>
    <xdr:ext cx="3299460" cy="172227"/>
    <xdr:sp macro="" textlink="'Pivot Report'!A6">
      <xdr:nvSpPr>
        <xdr:cNvPr id="22" name="TextBox 21">
          <a:extLst>
            <a:ext uri="{FF2B5EF4-FFF2-40B4-BE49-F238E27FC236}">
              <a16:creationId xmlns:a16="http://schemas.microsoft.com/office/drawing/2014/main" id="{5BDC8FB1-3F7D-FF71-B3B6-DF2CCE1A98AB}"/>
            </a:ext>
          </a:extLst>
        </xdr:cNvPr>
        <xdr:cNvSpPr txBox="1"/>
      </xdr:nvSpPr>
      <xdr:spPr>
        <a:xfrm>
          <a:off x="0" y="900676"/>
          <a:ext cx="3299460" cy="172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fld id="{BDFFBBC5-BCAE-48B7-B9BE-5A68987DC5AA}" type="TxLink">
            <a:rPr lang="en-US" sz="1100" b="0" i="0" u="none" strike="noStrike">
              <a:ln>
                <a:solidFill>
                  <a:schemeClr val="bg1">
                    <a:lumMod val="95000"/>
                  </a:schemeClr>
                </a:solidFill>
              </a:ln>
              <a:solidFill>
                <a:schemeClr val="bg1"/>
              </a:solidFill>
              <a:effectLst>
                <a:glow rad="63500">
                  <a:schemeClr val="accent1">
                    <a:lumMod val="50000"/>
                    <a:alpha val="40000"/>
                  </a:schemeClr>
                </a:glow>
              </a:effectLst>
              <a:latin typeface="Calibri"/>
              <a:ea typeface="Calibri"/>
              <a:cs typeface="Calibri"/>
            </a:rPr>
            <a:t>513</a:t>
          </a:fld>
          <a:endParaRPr lang="en-IN" sz="1200">
            <a:ln>
              <a:solidFill>
                <a:schemeClr val="bg1">
                  <a:lumMod val="95000"/>
                </a:schemeClr>
              </a:solidFill>
            </a:ln>
            <a:solidFill>
              <a:schemeClr val="bg1"/>
            </a:solidFill>
            <a:effectLst>
              <a:glow rad="63500">
                <a:schemeClr val="accent1">
                  <a:lumMod val="50000"/>
                  <a:alpha val="40000"/>
                </a:schemeClr>
              </a:glow>
            </a:effectLst>
          </a:endParaRPr>
        </a:p>
      </xdr:txBody>
    </xdr:sp>
    <xdr:clientData/>
  </xdr:oneCellAnchor>
  <xdr:oneCellAnchor>
    <xdr:from>
      <xdr:col>0</xdr:col>
      <xdr:colOff>0</xdr:colOff>
      <xdr:row>6</xdr:row>
      <xdr:rowOff>85336</xdr:rowOff>
    </xdr:from>
    <xdr:ext cx="3299460" cy="172227"/>
    <xdr:sp macro="" textlink="">
      <xdr:nvSpPr>
        <xdr:cNvPr id="23" name="TextBox 22">
          <a:extLst>
            <a:ext uri="{FF2B5EF4-FFF2-40B4-BE49-F238E27FC236}">
              <a16:creationId xmlns:a16="http://schemas.microsoft.com/office/drawing/2014/main" id="{AAF450A0-5B1C-4569-80D9-B1D267331502}"/>
            </a:ext>
          </a:extLst>
        </xdr:cNvPr>
        <xdr:cNvSpPr txBox="1"/>
      </xdr:nvSpPr>
      <xdr:spPr>
        <a:xfrm>
          <a:off x="0" y="1182616"/>
          <a:ext cx="3299460" cy="172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r>
            <a:rPr lang="en-IN" sz="10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lumMod val="20000"/>
                  <a:lumOff val="80000"/>
                </a:schemeClr>
              </a:solidFill>
            </a:rPr>
            <a:t>No. of Patient</a:t>
          </a:r>
        </a:p>
      </xdr:txBody>
    </xdr:sp>
    <xdr:clientData/>
  </xdr:oneCellAnchor>
  <xdr:oneCellAnchor>
    <xdr:from>
      <xdr:col>2</xdr:col>
      <xdr:colOff>99060</xdr:colOff>
      <xdr:row>6</xdr:row>
      <xdr:rowOff>85336</xdr:rowOff>
    </xdr:from>
    <xdr:ext cx="3299460" cy="172227"/>
    <xdr:sp macro="" textlink="">
      <xdr:nvSpPr>
        <xdr:cNvPr id="24" name="TextBox 23">
          <a:extLst>
            <a:ext uri="{FF2B5EF4-FFF2-40B4-BE49-F238E27FC236}">
              <a16:creationId xmlns:a16="http://schemas.microsoft.com/office/drawing/2014/main" id="{732F6447-EEB0-06DF-6311-FA63FF0229DC}"/>
            </a:ext>
          </a:extLst>
        </xdr:cNvPr>
        <xdr:cNvSpPr txBox="1"/>
      </xdr:nvSpPr>
      <xdr:spPr>
        <a:xfrm>
          <a:off x="1318260" y="1182616"/>
          <a:ext cx="3299460" cy="172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endParaRPr lang="en-IN" sz="11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lumMod val="20000"/>
                <a:lumOff val="80000"/>
              </a:schemeClr>
            </a:solidFill>
          </a:endParaRPr>
        </a:p>
      </xdr:txBody>
    </xdr:sp>
    <xdr:clientData/>
  </xdr:oneCellAnchor>
  <xdr:oneCellAnchor>
    <xdr:from>
      <xdr:col>2</xdr:col>
      <xdr:colOff>68580</xdr:colOff>
      <xdr:row>4</xdr:row>
      <xdr:rowOff>169156</xdr:rowOff>
    </xdr:from>
    <xdr:ext cx="3299460" cy="172227"/>
    <xdr:sp macro="" textlink="'Pivot Report'!A10">
      <xdr:nvSpPr>
        <xdr:cNvPr id="30" name="TextBox 29">
          <a:extLst>
            <a:ext uri="{FF2B5EF4-FFF2-40B4-BE49-F238E27FC236}">
              <a16:creationId xmlns:a16="http://schemas.microsoft.com/office/drawing/2014/main" id="{6C4197D6-6441-4332-95A3-C4949C83D108}"/>
            </a:ext>
          </a:extLst>
        </xdr:cNvPr>
        <xdr:cNvSpPr txBox="1"/>
      </xdr:nvSpPr>
      <xdr:spPr>
        <a:xfrm>
          <a:off x="1287780" y="900676"/>
          <a:ext cx="3299460" cy="172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fld id="{8780F2F1-D725-4C29-9AD4-EC3551651CB3}" type="TxLink">
            <a:rPr lang="en-US" sz="1100" b="0" i="0" u="none" strike="noStrike">
              <a:ln>
                <a:solidFill>
                  <a:schemeClr val="bg1"/>
                </a:solidFill>
              </a:ln>
              <a:solidFill>
                <a:schemeClr val="bg1"/>
              </a:solidFill>
              <a:effectLst>
                <a:glow rad="63500">
                  <a:schemeClr val="accent1">
                    <a:lumMod val="50000"/>
                    <a:alpha val="40000"/>
                  </a:schemeClr>
                </a:glow>
              </a:effectLst>
              <a:latin typeface="Calibri"/>
              <a:ea typeface="Calibri"/>
              <a:cs typeface="Calibri"/>
            </a:rPr>
            <a:t>36.32</a:t>
          </a:fld>
          <a:endParaRPr lang="en-US" sz="1100" b="0" i="0" u="none" strike="noStrike">
            <a:ln>
              <a:solidFill>
                <a:schemeClr val="bg1"/>
              </a:solidFill>
            </a:ln>
            <a:solidFill>
              <a:schemeClr val="bg1"/>
            </a:solidFill>
            <a:effectLst>
              <a:glow rad="63500">
                <a:schemeClr val="accent1">
                  <a:lumMod val="50000"/>
                  <a:alpha val="40000"/>
                </a:schemeClr>
              </a:glow>
            </a:effectLst>
            <a:latin typeface="Calibri"/>
            <a:ea typeface="Calibri"/>
            <a:cs typeface="Calibri"/>
          </a:endParaRPr>
        </a:p>
      </xdr:txBody>
    </xdr:sp>
    <xdr:clientData/>
  </xdr:oneCellAnchor>
  <xdr:oneCellAnchor>
    <xdr:from>
      <xdr:col>2</xdr:col>
      <xdr:colOff>68580</xdr:colOff>
      <xdr:row>6</xdr:row>
      <xdr:rowOff>85336</xdr:rowOff>
    </xdr:from>
    <xdr:ext cx="3299460" cy="172227"/>
    <xdr:sp macro="" textlink="">
      <xdr:nvSpPr>
        <xdr:cNvPr id="31" name="TextBox 30">
          <a:extLst>
            <a:ext uri="{FF2B5EF4-FFF2-40B4-BE49-F238E27FC236}">
              <a16:creationId xmlns:a16="http://schemas.microsoft.com/office/drawing/2014/main" id="{771B1CBA-37F6-FF52-FD86-6B5B1D32EF0C}"/>
            </a:ext>
          </a:extLst>
        </xdr:cNvPr>
        <xdr:cNvSpPr txBox="1"/>
      </xdr:nvSpPr>
      <xdr:spPr>
        <a:xfrm>
          <a:off x="1287780" y="1182616"/>
          <a:ext cx="3299460" cy="172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r>
            <a:rPr lang="en-IN" sz="9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lumMod val="20000"/>
                  <a:lumOff val="80000"/>
                </a:schemeClr>
              </a:solidFill>
            </a:rPr>
            <a:t>Average</a:t>
          </a:r>
          <a:r>
            <a:rPr lang="en-IN" sz="9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lumMod val="20000"/>
                  <a:lumOff val="80000"/>
                </a:schemeClr>
              </a:solidFill>
            </a:rPr>
            <a:t> Wait Time(min)</a:t>
          </a:r>
          <a:endParaRPr lang="en-IN" sz="9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lumMod val="20000"/>
                <a:lumOff val="80000"/>
              </a:schemeClr>
            </a:solidFill>
          </a:endParaRPr>
        </a:p>
      </xdr:txBody>
    </xdr:sp>
    <xdr:clientData/>
  </xdr:oneCellAnchor>
  <xdr:oneCellAnchor>
    <xdr:from>
      <xdr:col>4</xdr:col>
      <xdr:colOff>243840</xdr:colOff>
      <xdr:row>4</xdr:row>
      <xdr:rowOff>176776</xdr:rowOff>
    </xdr:from>
    <xdr:ext cx="3299460" cy="172227"/>
    <xdr:sp macro="" textlink="'Pivot Report'!A13">
      <xdr:nvSpPr>
        <xdr:cNvPr id="33" name="TextBox 32">
          <a:extLst>
            <a:ext uri="{FF2B5EF4-FFF2-40B4-BE49-F238E27FC236}">
              <a16:creationId xmlns:a16="http://schemas.microsoft.com/office/drawing/2014/main" id="{9BDE3E2B-0243-0C56-EAEA-55F1A63BC5B2}"/>
            </a:ext>
          </a:extLst>
        </xdr:cNvPr>
        <xdr:cNvSpPr txBox="1"/>
      </xdr:nvSpPr>
      <xdr:spPr>
        <a:xfrm>
          <a:off x="2682240" y="908296"/>
          <a:ext cx="3299460" cy="172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fld id="{D9AA2B37-8150-4BB3-A2BB-35583C00B00E}" type="TxLink">
            <a:rPr lang="en-US" sz="1100" b="0" i="0" u="none" strike="noStrike">
              <a:ln>
                <a:solidFill>
                  <a:schemeClr val="bg1">
                    <a:lumMod val="95000"/>
                  </a:schemeClr>
                </a:solidFill>
              </a:ln>
              <a:solidFill>
                <a:schemeClr val="bg1"/>
              </a:solidFill>
              <a:effectLst>
                <a:glow rad="63500">
                  <a:schemeClr val="accent1">
                    <a:lumMod val="50000"/>
                    <a:alpha val="40000"/>
                  </a:schemeClr>
                </a:glow>
              </a:effectLst>
              <a:latin typeface="Calibri"/>
              <a:ea typeface="Calibri"/>
              <a:cs typeface="Calibri"/>
            </a:rPr>
            <a:t>4.96</a:t>
          </a:fld>
          <a:endParaRPr lang="en-IN" sz="1200">
            <a:ln>
              <a:solidFill>
                <a:schemeClr val="bg1">
                  <a:lumMod val="95000"/>
                </a:schemeClr>
              </a:solidFill>
            </a:ln>
            <a:solidFill>
              <a:schemeClr val="bg1"/>
            </a:solidFill>
            <a:effectLst>
              <a:glow rad="63500">
                <a:schemeClr val="accent1">
                  <a:lumMod val="50000"/>
                  <a:alpha val="40000"/>
                </a:schemeClr>
              </a:glow>
            </a:effectLst>
          </a:endParaRPr>
        </a:p>
      </xdr:txBody>
    </xdr:sp>
    <xdr:clientData/>
  </xdr:oneCellAnchor>
  <xdr:oneCellAnchor>
    <xdr:from>
      <xdr:col>4</xdr:col>
      <xdr:colOff>236220</xdr:colOff>
      <xdr:row>6</xdr:row>
      <xdr:rowOff>85336</xdr:rowOff>
    </xdr:from>
    <xdr:ext cx="3299460" cy="172227"/>
    <xdr:sp macro="" textlink="">
      <xdr:nvSpPr>
        <xdr:cNvPr id="34" name="TextBox 33">
          <a:extLst>
            <a:ext uri="{FF2B5EF4-FFF2-40B4-BE49-F238E27FC236}">
              <a16:creationId xmlns:a16="http://schemas.microsoft.com/office/drawing/2014/main" id="{0F5DD73D-B09C-C3AA-02EE-B0CFE4B930A1}"/>
            </a:ext>
          </a:extLst>
        </xdr:cNvPr>
        <xdr:cNvSpPr txBox="1"/>
      </xdr:nvSpPr>
      <xdr:spPr>
        <a:xfrm>
          <a:off x="2674620" y="1182616"/>
          <a:ext cx="3299460" cy="172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r>
            <a:rPr lang="en-IN" sz="9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lumMod val="20000"/>
                  <a:lumOff val="80000"/>
                </a:schemeClr>
              </a:solidFill>
            </a:rPr>
            <a:t>Patient Satisfaction Score</a:t>
          </a:r>
        </a:p>
      </xdr:txBody>
    </xdr:sp>
    <xdr:clientData/>
  </xdr:oneCellAnchor>
  <xdr:twoCellAnchor editAs="oneCell">
    <xdr:from>
      <xdr:col>3</xdr:col>
      <xdr:colOff>160020</xdr:colOff>
      <xdr:row>4</xdr:row>
      <xdr:rowOff>99060</xdr:rowOff>
    </xdr:from>
    <xdr:to>
      <xdr:col>3</xdr:col>
      <xdr:colOff>480060</xdr:colOff>
      <xdr:row>6</xdr:row>
      <xdr:rowOff>53340</xdr:rowOff>
    </xdr:to>
    <xdr:pic>
      <xdr:nvPicPr>
        <xdr:cNvPr id="36" name="Graphic 35" descr="Man with solid fill">
          <a:extLst>
            <a:ext uri="{FF2B5EF4-FFF2-40B4-BE49-F238E27FC236}">
              <a16:creationId xmlns:a16="http://schemas.microsoft.com/office/drawing/2014/main" id="{14E0FCC0-729A-D1B2-6F09-A234F8C29D8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988820" y="830580"/>
          <a:ext cx="320040" cy="320040"/>
        </a:xfrm>
        <a:prstGeom prst="rect">
          <a:avLst/>
        </a:prstGeom>
      </xdr:spPr>
    </xdr:pic>
    <xdr:clientData/>
  </xdr:twoCellAnchor>
  <xdr:twoCellAnchor editAs="oneCell">
    <xdr:from>
      <xdr:col>5</xdr:col>
      <xdr:colOff>236220</xdr:colOff>
      <xdr:row>4</xdr:row>
      <xdr:rowOff>83820</xdr:rowOff>
    </xdr:from>
    <xdr:to>
      <xdr:col>5</xdr:col>
      <xdr:colOff>548640</xdr:colOff>
      <xdr:row>6</xdr:row>
      <xdr:rowOff>30480</xdr:rowOff>
    </xdr:to>
    <xdr:pic>
      <xdr:nvPicPr>
        <xdr:cNvPr id="38" name="Graphic 37" descr="Hourglass Finished with solid fill">
          <a:extLst>
            <a:ext uri="{FF2B5EF4-FFF2-40B4-BE49-F238E27FC236}">
              <a16:creationId xmlns:a16="http://schemas.microsoft.com/office/drawing/2014/main" id="{C1A1C0E1-45B2-2CA9-9A8C-287B409564A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rot="10800000">
          <a:off x="3284220" y="815340"/>
          <a:ext cx="312420" cy="312420"/>
        </a:xfrm>
        <a:prstGeom prst="rect">
          <a:avLst/>
        </a:prstGeom>
      </xdr:spPr>
    </xdr:pic>
    <xdr:clientData/>
  </xdr:twoCellAnchor>
  <xdr:twoCellAnchor editAs="oneCell">
    <xdr:from>
      <xdr:col>7</xdr:col>
      <xdr:colOff>358140</xdr:colOff>
      <xdr:row>4</xdr:row>
      <xdr:rowOff>106680</xdr:rowOff>
    </xdr:from>
    <xdr:to>
      <xdr:col>8</xdr:col>
      <xdr:colOff>76200</xdr:colOff>
      <xdr:row>6</xdr:row>
      <xdr:rowOff>68580</xdr:rowOff>
    </xdr:to>
    <xdr:pic>
      <xdr:nvPicPr>
        <xdr:cNvPr id="40" name="Graphic 39" descr="Bullseye with solid fill">
          <a:extLst>
            <a:ext uri="{FF2B5EF4-FFF2-40B4-BE49-F238E27FC236}">
              <a16:creationId xmlns:a16="http://schemas.microsoft.com/office/drawing/2014/main" id="{9AF0AD36-8A65-4157-4A26-57E63A545F6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625340" y="838200"/>
          <a:ext cx="327660" cy="327660"/>
        </a:xfrm>
        <a:prstGeom prst="rect">
          <a:avLst/>
        </a:prstGeom>
      </xdr:spPr>
    </xdr:pic>
    <xdr:clientData/>
  </xdr:twoCellAnchor>
  <xdr:twoCellAnchor editAs="oneCell">
    <xdr:from>
      <xdr:col>0</xdr:col>
      <xdr:colOff>106680</xdr:colOff>
      <xdr:row>4</xdr:row>
      <xdr:rowOff>129540</xdr:rowOff>
    </xdr:from>
    <xdr:to>
      <xdr:col>1</xdr:col>
      <xdr:colOff>217080</xdr:colOff>
      <xdr:row>23</xdr:row>
      <xdr:rowOff>2820</xdr:rowOff>
    </xdr:to>
    <mc:AlternateContent xmlns:mc="http://schemas.openxmlformats.org/markup-compatibility/2006">
      <mc:Choice xmlns:a14="http://schemas.microsoft.com/office/drawing/2010/main" Requires="a14">
        <xdr:graphicFrame macro="">
          <xdr:nvGraphicFramePr>
            <xdr:cNvPr id="41" name="Date (Month)">
              <a:extLst>
                <a:ext uri="{FF2B5EF4-FFF2-40B4-BE49-F238E27FC236}">
                  <a16:creationId xmlns:a16="http://schemas.microsoft.com/office/drawing/2014/main" id="{20C7E9A3-E679-4AC1-9D2C-D172CF851E7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06680" y="861060"/>
              <a:ext cx="720000" cy="33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312420</xdr:colOff>
      <xdr:row>7</xdr:row>
      <xdr:rowOff>15240</xdr:rowOff>
    </xdr:from>
    <xdr:to>
      <xdr:col>4</xdr:col>
      <xdr:colOff>60960</xdr:colOff>
      <xdr:row>10</xdr:row>
      <xdr:rowOff>99060</xdr:rowOff>
    </xdr:to>
    <xdr:graphicFrame macro="">
      <xdr:nvGraphicFramePr>
        <xdr:cNvPr id="43" name="Chart 42">
          <a:hlinkClick xmlns:r="http://schemas.openxmlformats.org/officeDocument/2006/relationships" r:id="rId8"/>
          <a:extLst>
            <a:ext uri="{FF2B5EF4-FFF2-40B4-BE49-F238E27FC236}">
              <a16:creationId xmlns:a16="http://schemas.microsoft.com/office/drawing/2014/main" id="{1654F545-381A-5A85-D333-014ABED28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365760</xdr:colOff>
      <xdr:row>6</xdr:row>
      <xdr:rowOff>83820</xdr:rowOff>
    </xdr:from>
    <xdr:to>
      <xdr:col>6</xdr:col>
      <xdr:colOff>76200</xdr:colOff>
      <xdr:row>9</xdr:row>
      <xdr:rowOff>38100</xdr:rowOff>
    </xdr:to>
    <xdr:graphicFrame macro="">
      <xdr:nvGraphicFramePr>
        <xdr:cNvPr id="44" name="Chart 43">
          <a:extLst>
            <a:ext uri="{FF2B5EF4-FFF2-40B4-BE49-F238E27FC236}">
              <a16:creationId xmlns:a16="http://schemas.microsoft.com/office/drawing/2014/main" id="{A0A26BC3-A007-4321-8FFF-3EA0043E0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0</xdr:colOff>
      <xdr:row>6</xdr:row>
      <xdr:rowOff>167640</xdr:rowOff>
    </xdr:from>
    <xdr:to>
      <xdr:col>8</xdr:col>
      <xdr:colOff>129540</xdr:colOff>
      <xdr:row>8</xdr:row>
      <xdr:rowOff>137160</xdr:rowOff>
    </xdr:to>
    <xdr:graphicFrame macro="">
      <xdr:nvGraphicFramePr>
        <xdr:cNvPr id="45" name="Chart 44">
          <a:extLst>
            <a:ext uri="{FF2B5EF4-FFF2-40B4-BE49-F238E27FC236}">
              <a16:creationId xmlns:a16="http://schemas.microsoft.com/office/drawing/2014/main" id="{A9D3ABF6-7768-4595-B64F-4E69C35ABC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411480</xdr:colOff>
          <xdr:row>8</xdr:row>
          <xdr:rowOff>175260</xdr:rowOff>
        </xdr:from>
        <xdr:to>
          <xdr:col>8</xdr:col>
          <xdr:colOff>114300</xdr:colOff>
          <xdr:row>12</xdr:row>
          <xdr:rowOff>91440</xdr:rowOff>
        </xdr:to>
        <xdr:pic>
          <xdr:nvPicPr>
            <xdr:cNvPr id="53" name="Picture 52">
              <a:extLst>
                <a:ext uri="{FF2B5EF4-FFF2-40B4-BE49-F238E27FC236}">
                  <a16:creationId xmlns:a16="http://schemas.microsoft.com/office/drawing/2014/main" id="{2621A1A0-DE97-F737-FB58-A28D78853EA2}"/>
                </a:ext>
              </a:extLst>
            </xdr:cNvPr>
            <xdr:cNvPicPr>
              <a:picLocks noChangeAspect="1" noChangeArrowheads="1"/>
              <a:extLst>
                <a:ext uri="{84589F7E-364E-4C9E-8A38-B11213B215E9}">
                  <a14:cameraTool cellRange="'Pivot Report'!$A$48:$D$50" spid="_x0000_s3100"/>
                </a:ext>
              </a:extLst>
            </xdr:cNvPicPr>
          </xdr:nvPicPr>
          <xdr:blipFill>
            <a:blip xmlns:r="http://schemas.openxmlformats.org/officeDocument/2006/relationships" r:embed="rId12"/>
            <a:srcRect/>
            <a:stretch>
              <a:fillRect/>
            </a:stretch>
          </xdr:blipFill>
          <xdr:spPr bwMode="auto">
            <a:xfrm>
              <a:off x="1021080" y="1638300"/>
              <a:ext cx="3970020" cy="647700"/>
            </a:xfrm>
            <a:prstGeom prst="roundRect">
              <a:avLst>
                <a:gd name="adj" fmla="val 8594"/>
              </a:avLst>
            </a:prstGeom>
            <a:solidFill>
              <a:srgbClr val="FFFFFF">
                <a:shade val="85000"/>
              </a:srgbClr>
            </a:solidFill>
            <a:ln>
              <a:solidFill>
                <a:schemeClr val="accent1"/>
              </a:solidFill>
            </a:ln>
            <a:effectLst/>
            <a:extLst>
              <a:ext uri="{909E8E84-426E-40DD-AFC4-6F175D3DCCD1}">
                <a14:hiddenFill>
                  <a:solidFill>
                    <a:srgbClr val="FFFFFF"/>
                  </a:solidFill>
                </a14:hiddenFill>
              </a:ext>
            </a:extLst>
          </xdr:spPr>
        </xdr:pic>
        <xdr:clientData/>
      </xdr:twoCellAnchor>
    </mc:Choice>
    <mc:Fallback/>
  </mc:AlternateContent>
  <xdr:twoCellAnchor>
    <xdr:from>
      <xdr:col>1</xdr:col>
      <xdr:colOff>396240</xdr:colOff>
      <xdr:row>12</xdr:row>
      <xdr:rowOff>152400</xdr:rowOff>
    </xdr:from>
    <xdr:to>
      <xdr:col>8</xdr:col>
      <xdr:colOff>121920</xdr:colOff>
      <xdr:row>23</xdr:row>
      <xdr:rowOff>144780</xdr:rowOff>
    </xdr:to>
    <xdr:graphicFrame macro="">
      <xdr:nvGraphicFramePr>
        <xdr:cNvPr id="55" name="Chart 54">
          <a:extLst>
            <a:ext uri="{FF2B5EF4-FFF2-40B4-BE49-F238E27FC236}">
              <a16:creationId xmlns:a16="http://schemas.microsoft.com/office/drawing/2014/main" id="{C014435F-FDEE-4A14-9872-FA394C9CF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205740</xdr:colOff>
      <xdr:row>0</xdr:row>
      <xdr:rowOff>83820</xdr:rowOff>
    </xdr:from>
    <xdr:to>
      <xdr:col>10</xdr:col>
      <xdr:colOff>320040</xdr:colOff>
      <xdr:row>8</xdr:row>
      <xdr:rowOff>68580</xdr:rowOff>
    </xdr:to>
    <xdr:graphicFrame macro="">
      <xdr:nvGraphicFramePr>
        <xdr:cNvPr id="56" name="Chart 55">
          <a:extLst>
            <a:ext uri="{FF2B5EF4-FFF2-40B4-BE49-F238E27FC236}">
              <a16:creationId xmlns:a16="http://schemas.microsoft.com/office/drawing/2014/main" id="{1B137766-EA49-474E-AF16-2329CA2B32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2</xdr:col>
      <xdr:colOff>198120</xdr:colOff>
      <xdr:row>22</xdr:row>
      <xdr:rowOff>16756</xdr:rowOff>
    </xdr:from>
    <xdr:ext cx="3299460" cy="172227"/>
    <xdr:sp macro="" textlink="">
      <xdr:nvSpPr>
        <xdr:cNvPr id="59" name="TextBox 58">
          <a:extLst>
            <a:ext uri="{FF2B5EF4-FFF2-40B4-BE49-F238E27FC236}">
              <a16:creationId xmlns:a16="http://schemas.microsoft.com/office/drawing/2014/main" id="{022F0DEC-F1FE-D32D-DEF7-1426A802E8A4}"/>
            </a:ext>
          </a:extLst>
        </xdr:cNvPr>
        <xdr:cNvSpPr txBox="1"/>
      </xdr:nvSpPr>
      <xdr:spPr>
        <a:xfrm>
          <a:off x="1417320" y="4040116"/>
          <a:ext cx="3299460" cy="172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r>
            <a:rPr lang="en-IN" sz="105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lumMod val="20000"/>
                  <a:lumOff val="80000"/>
                </a:schemeClr>
              </a:solidFill>
            </a:rPr>
            <a:t>No.</a:t>
          </a:r>
          <a:r>
            <a:rPr lang="en-IN" sz="105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lumMod val="20000"/>
                  <a:lumOff val="80000"/>
                </a:schemeClr>
              </a:solidFill>
            </a:rPr>
            <a:t> of Patient by age Group</a:t>
          </a:r>
          <a:endParaRPr lang="en-IN" sz="105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lumMod val="20000"/>
                <a:lumOff val="80000"/>
              </a:schemeClr>
            </a:solidFill>
          </a:endParaRPr>
        </a:p>
      </xdr:txBody>
    </xdr:sp>
    <xdr:clientData/>
  </xdr:oneCellAnchor>
  <xdr:oneCellAnchor>
    <xdr:from>
      <xdr:col>7</xdr:col>
      <xdr:colOff>22860</xdr:colOff>
      <xdr:row>27</xdr:row>
      <xdr:rowOff>115816</xdr:rowOff>
    </xdr:from>
    <xdr:ext cx="3299460" cy="172227"/>
    <xdr:sp macro="" textlink="">
      <xdr:nvSpPr>
        <xdr:cNvPr id="60" name="TextBox 59">
          <a:extLst>
            <a:ext uri="{FF2B5EF4-FFF2-40B4-BE49-F238E27FC236}">
              <a16:creationId xmlns:a16="http://schemas.microsoft.com/office/drawing/2014/main" id="{B2ABFAC7-2E8C-C09B-2C2A-E8960388AAA3}"/>
            </a:ext>
          </a:extLst>
        </xdr:cNvPr>
        <xdr:cNvSpPr txBox="1"/>
      </xdr:nvSpPr>
      <xdr:spPr>
        <a:xfrm>
          <a:off x="4290060" y="5053576"/>
          <a:ext cx="3299460" cy="172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endParaRPr lang="en-IN" sz="105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lumMod val="20000"/>
                <a:lumOff val="80000"/>
              </a:schemeClr>
            </a:solidFill>
          </a:endParaRPr>
        </a:p>
      </xdr:txBody>
    </xdr:sp>
    <xdr:clientData/>
  </xdr:oneCellAnchor>
  <xdr:oneCellAnchor>
    <xdr:from>
      <xdr:col>6</xdr:col>
      <xdr:colOff>434340</xdr:colOff>
      <xdr:row>7</xdr:row>
      <xdr:rowOff>24376</xdr:rowOff>
    </xdr:from>
    <xdr:ext cx="3299460" cy="172227"/>
    <xdr:sp macro="" textlink="">
      <xdr:nvSpPr>
        <xdr:cNvPr id="61" name="TextBox 60">
          <a:extLst>
            <a:ext uri="{FF2B5EF4-FFF2-40B4-BE49-F238E27FC236}">
              <a16:creationId xmlns:a16="http://schemas.microsoft.com/office/drawing/2014/main" id="{05AD5440-A26A-EEB7-662E-1CAF639F1416}"/>
            </a:ext>
          </a:extLst>
        </xdr:cNvPr>
        <xdr:cNvSpPr txBox="1"/>
      </xdr:nvSpPr>
      <xdr:spPr>
        <a:xfrm>
          <a:off x="4091940" y="1304536"/>
          <a:ext cx="3299460" cy="172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r>
            <a:rPr lang="en-IN" sz="8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lumMod val="20000"/>
                  <a:lumOff val="80000"/>
                </a:schemeClr>
              </a:solidFill>
            </a:rPr>
            <a:t>Patient Attended within Time</a:t>
          </a:r>
          <a:endParaRPr lang="en-IN" sz="8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lumMod val="20000"/>
                <a:lumOff val="80000"/>
              </a:schemeClr>
            </a:solidFill>
          </a:endParaRPr>
        </a:p>
      </xdr:txBody>
    </xdr:sp>
    <xdr:clientData/>
  </xdr:oneCellAnchor>
  <xdr:twoCellAnchor>
    <xdr:from>
      <xdr:col>10</xdr:col>
      <xdr:colOff>396240</xdr:colOff>
      <xdr:row>0</xdr:row>
      <xdr:rowOff>83820</xdr:rowOff>
    </xdr:from>
    <xdr:to>
      <xdr:col>12</xdr:col>
      <xdr:colOff>563880</xdr:colOff>
      <xdr:row>8</xdr:row>
      <xdr:rowOff>99060</xdr:rowOff>
    </xdr:to>
    <xdr:graphicFrame macro="">
      <xdr:nvGraphicFramePr>
        <xdr:cNvPr id="62" name="Chart 61">
          <a:extLst>
            <a:ext uri="{FF2B5EF4-FFF2-40B4-BE49-F238E27FC236}">
              <a16:creationId xmlns:a16="http://schemas.microsoft.com/office/drawing/2014/main" id="{CB3C6828-559E-455B-884C-7A807DA29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9</xdr:col>
      <xdr:colOff>68580</xdr:colOff>
      <xdr:row>7</xdr:row>
      <xdr:rowOff>24376</xdr:rowOff>
    </xdr:from>
    <xdr:ext cx="3299460" cy="172227"/>
    <xdr:sp macro="" textlink="">
      <xdr:nvSpPr>
        <xdr:cNvPr id="63" name="TextBox 62">
          <a:extLst>
            <a:ext uri="{FF2B5EF4-FFF2-40B4-BE49-F238E27FC236}">
              <a16:creationId xmlns:a16="http://schemas.microsoft.com/office/drawing/2014/main" id="{74E39ED7-89A6-A719-DEA5-553FBA423F7E}"/>
            </a:ext>
          </a:extLst>
        </xdr:cNvPr>
        <xdr:cNvSpPr txBox="1"/>
      </xdr:nvSpPr>
      <xdr:spPr>
        <a:xfrm>
          <a:off x="5554980" y="1304536"/>
          <a:ext cx="3299460" cy="172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r>
            <a:rPr lang="en-IN" sz="9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lumMod val="20000"/>
                  <a:lumOff val="80000"/>
                </a:schemeClr>
              </a:solidFill>
            </a:rPr>
            <a:t>Gender wise Analysis</a:t>
          </a:r>
          <a:endParaRPr lang="en-IN" sz="9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lumMod val="20000"/>
                <a:lumOff val="80000"/>
              </a:schemeClr>
            </a:solidFill>
          </a:endParaRPr>
        </a:p>
      </xdr:txBody>
    </xdr:sp>
    <xdr:clientData/>
  </xdr:oneCellAnchor>
  <xdr:twoCellAnchor>
    <xdr:from>
      <xdr:col>8</xdr:col>
      <xdr:colOff>220980</xdr:colOff>
      <xdr:row>9</xdr:row>
      <xdr:rowOff>99060</xdr:rowOff>
    </xdr:from>
    <xdr:to>
      <xdr:col>12</xdr:col>
      <xdr:colOff>541020</xdr:colOff>
      <xdr:row>23</xdr:row>
      <xdr:rowOff>129540</xdr:rowOff>
    </xdr:to>
    <xdr:graphicFrame macro="">
      <xdr:nvGraphicFramePr>
        <xdr:cNvPr id="65" name="Chart 64">
          <a:extLst>
            <a:ext uri="{FF2B5EF4-FFF2-40B4-BE49-F238E27FC236}">
              <a16:creationId xmlns:a16="http://schemas.microsoft.com/office/drawing/2014/main" id="{0381AB1E-40AA-41A2-A75B-2A690F86B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7</xdr:col>
      <xdr:colOff>480060</xdr:colOff>
      <xdr:row>22</xdr:row>
      <xdr:rowOff>70096</xdr:rowOff>
    </xdr:from>
    <xdr:ext cx="3299460" cy="172227"/>
    <xdr:sp macro="" textlink="">
      <xdr:nvSpPr>
        <xdr:cNvPr id="66" name="TextBox 65">
          <a:extLst>
            <a:ext uri="{FF2B5EF4-FFF2-40B4-BE49-F238E27FC236}">
              <a16:creationId xmlns:a16="http://schemas.microsoft.com/office/drawing/2014/main" id="{A2FFBA0A-969E-E185-444B-57ABA1F5B3A2}"/>
            </a:ext>
          </a:extLst>
        </xdr:cNvPr>
        <xdr:cNvSpPr txBox="1"/>
      </xdr:nvSpPr>
      <xdr:spPr>
        <a:xfrm>
          <a:off x="4747260" y="4093456"/>
          <a:ext cx="3299460" cy="172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1">
          <a:noAutofit/>
        </a:bodyPr>
        <a:lstStyle/>
        <a:p>
          <a:r>
            <a:rPr lang="en-IN" sz="9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lumMod val="20000"/>
                  <a:lumOff val="80000"/>
                </a:schemeClr>
              </a:solidFill>
            </a:rPr>
            <a:t>No. of Patient by Department Referal</a:t>
          </a:r>
          <a:endParaRPr lang="en-IN" sz="90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lumMod val="20000"/>
                <a:lumOff val="80000"/>
              </a:schemeClr>
            </a:solidFill>
          </a:endParaRPr>
        </a:p>
      </xdr:txBody>
    </xdr:sp>
    <xdr:clientData/>
  </xdr:oneCellAnchor>
  <xdr:twoCellAnchor editAs="oneCell">
    <xdr:from>
      <xdr:col>6</xdr:col>
      <xdr:colOff>22860</xdr:colOff>
      <xdr:row>1</xdr:row>
      <xdr:rowOff>30480</xdr:rowOff>
    </xdr:from>
    <xdr:to>
      <xdr:col>8</xdr:col>
      <xdr:colOff>99060</xdr:colOff>
      <xdr:row>3</xdr:row>
      <xdr:rowOff>53340</xdr:rowOff>
    </xdr:to>
    <mc:AlternateContent xmlns:mc="http://schemas.openxmlformats.org/markup-compatibility/2006">
      <mc:Choice xmlns:a14="http://schemas.microsoft.com/office/drawing/2010/main" Requires="a14">
        <xdr:graphicFrame macro="">
          <xdr:nvGraphicFramePr>
            <xdr:cNvPr id="67" name="Date (Year)">
              <a:extLst>
                <a:ext uri="{FF2B5EF4-FFF2-40B4-BE49-F238E27FC236}">
                  <a16:creationId xmlns:a16="http://schemas.microsoft.com/office/drawing/2014/main" id="{84297EDF-B135-4C72-AE5B-88D74089DBCE}"/>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680460" y="213360"/>
              <a:ext cx="1295400" cy="388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304800</xdr:colOff>
      <xdr:row>14</xdr:row>
      <xdr:rowOff>53340</xdr:rowOff>
    </xdr:to>
    <xdr:graphicFrame macro="">
      <xdr:nvGraphicFramePr>
        <xdr:cNvPr id="2" name="Chart 1">
          <a:extLst>
            <a:ext uri="{FF2B5EF4-FFF2-40B4-BE49-F238E27FC236}">
              <a16:creationId xmlns:a16="http://schemas.microsoft.com/office/drawing/2014/main" id="{8EFCF911-661A-4662-AB30-5CD61FAE3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480060</xdr:colOff>
      <xdr:row>2</xdr:row>
      <xdr:rowOff>114300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9CFADB1D-BCC0-6595-75D2-B8F7572E10F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480060" cy="48006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Chaudhary" refreshedDate="46228.748312268515" createdVersion="5" refreshedVersion="8" minRefreshableVersion="3" recordCount="0" supportSubquery="1" supportAdvancedDrill="1" xr:uid="{45D8B224-1F50-48AD-9886-BDA9519D478D}">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Chaudhary" refreshedDate="46228.748312384261" createdVersion="5" refreshedVersion="8" minRefreshableVersion="3" recordCount="0" supportSubquery="1" supportAdvancedDrill="1" xr:uid="{7F0D7B5B-EE4A-499C-8AC7-86A425FDA0C5}">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Chaudhary" refreshedDate="46228.7483125" createdVersion="5" refreshedVersion="8" minRefreshableVersion="3" recordCount="0" supportSubquery="1" supportAdvancedDrill="1" xr:uid="{1F19B1F7-D97E-4822-A6BF-12D181095E60}">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Chaudhary" refreshedDate="46228.748312615739" createdVersion="5" refreshedVersion="8" minRefreshableVersion="3" recordCount="0" supportSubquery="1" supportAdvancedDrill="1" xr:uid="{D5767A26-3A4B-4BC0-93A1-22D94DDCAE42}">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Chaudhary" refreshedDate="46228.7483130787" createdVersion="5" refreshedVersion="8" minRefreshableVersion="3" recordCount="0" supportSubquery="1" supportAdvancedDrill="1" xr:uid="{8EF64527-57E8-49FB-AC2C-E9EF3120292B}">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Chaudhary" refreshedDate="46228.74831354167" createdVersion="5" refreshedVersion="8" minRefreshableVersion="3" recordCount="0" supportSubquery="1" supportAdvancedDrill="1" xr:uid="{FFB41CFF-7D2E-4145-B6ED-B74CE185C224}">
  <cacheSource type="external" connectionId="3"/>
  <cacheFields count="4">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Chaudhary" refreshedDate="46228.748314004632" createdVersion="5" refreshedVersion="8" minRefreshableVersion="3" recordCount="0" supportSubquery="1" supportAdvancedDrill="1" xr:uid="{D33CDD9A-7132-4D6A-817F-29DC3A12B910}">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2" level="32767"/>
    <cacheField name="[Calende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Chaudhary" refreshedDate="46228.748314351855" createdVersion="5" refreshedVersion="8" minRefreshableVersion="3" recordCount="0" supportSubquery="1" supportAdvancedDrill="1" xr:uid="{A7FC8E7F-5713-48EB-AB1E-9EB00ABD8BDF}">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3"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Chaudhary" refreshedDate="46228.748314699071" createdVersion="5" refreshedVersion="8" minRefreshableVersion="3" recordCount="0" supportSubquery="1" supportAdvancedDrill="1" xr:uid="{7DDD12D8-9D59-4EC6-8992-3EF1A619CC74}">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0"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Chaudhary" refreshedDate="46228.74831516204" createdVersion="5" refreshedVersion="8" minRefreshableVersion="3" recordCount="0" supportSubquery="1" supportAdvancedDrill="1" xr:uid="{3402056A-0C50-4D96-B94A-1A2A44107342}">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Chaudhary" refreshedDate="46228.748315509256" createdVersion="5" refreshedVersion="8" minRefreshableVersion="3" recordCount="0" supportSubquery="1" supportAdvancedDrill="1" xr:uid="{60BA7D77-03D4-47AA-9277-C168B53A4A4C}">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Chaudhary" refreshedDate="46228.748315856479" createdVersion="5" refreshedVersion="8" minRefreshableVersion="3" recordCount="0" supportSubquery="1" supportAdvancedDrill="1" xr:uid="{593C6571-FD8E-478F-BD82-0D96FA934EC1}">
  <cacheSource type="external" connectionId="3"/>
  <cacheFields count="2">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unt="1">
        <s v="2024"/>
      </sharedItems>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 Chaudhary" refreshedDate="46228.727373842594" createdVersion="3" refreshedVersion="8" minRefreshableVersion="3" recordCount="0" supportSubquery="1" supportAdvancedDrill="1" xr:uid="{F14DCCFB-B48D-40B8-B2CE-10EDA12785C5}">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Time]" caption="Count of Patient Admission Time"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7868627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4ACF09-9829-4B02-8B7C-E87417129CD0}" name="PivotTable13" cacheId="1982" applyNumberFormats="0" applyBorderFormats="0" applyFontFormats="0" applyPatternFormats="0" applyAlignmentFormats="0" applyWidthHeightFormats="1" dataCaption="Values" tag="1c7274c5-561d-4e9f-b569-1d0a327b5721" updatedVersion="8" minRefreshableVersion="3" subtotalHiddenItems="1" itemPrintTitles="1" createdVersion="5" indent="0" outline="1" outlineData="1" multipleFieldFilters="0" chartFormat="62">
  <location ref="A110:A112"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266">
      <pivotArea outline="0" collapsedLevelsAreSubtotals="1" fieldPosition="0"/>
    </format>
  </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BDC8E6-047C-4391-964B-9849B515C703}" name="PivotTable12" cacheId="1979" applyNumberFormats="0" applyBorderFormats="0" applyFontFormats="0" applyPatternFormats="0" applyAlignmentFormats="0" applyWidthHeightFormats="1" dataCaption="Values" tag="8b0af739-5295-4aef-bdf1-bc2f1c363486" updatedVersion="8" minRefreshableVersion="3" subtotalHiddenItems="1" itemPrintTitles="1" createdVersion="5" indent="0" outline="1" outlineData="1" multipleFieldFilters="0" chartFormat="62">
  <location ref="A93:B102"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1">
    <format dxfId="295">
      <pivotArea outline="0" collapsedLevelsAreSubtotals="1" fieldPosition="0"/>
    </format>
  </formats>
  <chartFormats count="1">
    <chartFormat chart="61"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F0FB30-7907-46E6-9FC7-FEAD13F89E47}" name="PivotTable11" cacheId="1976" applyNumberFormats="0" applyBorderFormats="0" applyFontFormats="0" applyPatternFormats="0" applyAlignmentFormats="0" applyWidthHeightFormats="1" dataCaption="Values" tag="a0be1b58-fc59-4f4b-ad28-55e0852bd317" updatedVersion="8" minRefreshableVersion="3" subtotalHiddenItems="1" itemPrintTitles="1" createdVersion="5" indent="0" outline="1" outlineData="1" multipleFieldFilters="0" chartFormat="64">
  <location ref="A88:B9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96">
      <pivotArea outline="0" collapsedLevelsAreSubtotals="1" fieldPosition="0"/>
    </format>
  </formats>
  <chartFormats count="3">
    <chartFormat chart="61" format="5" series="1">
      <pivotArea type="data" outline="0" fieldPosition="0">
        <references count="1">
          <reference field="4294967294" count="1" selected="0">
            <x v="0"/>
          </reference>
        </references>
      </pivotArea>
    </chartFormat>
    <chartFormat chart="61" format="6">
      <pivotArea type="data" outline="0" fieldPosition="0">
        <references count="2">
          <reference field="4294967294" count="1" selected="0">
            <x v="0"/>
          </reference>
          <reference field="1" count="1" selected="0">
            <x v="0"/>
          </reference>
        </references>
      </pivotArea>
    </chartFormat>
    <chartFormat chart="61" format="7">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DECD96-2B49-41CF-A42A-DF4A4A4E576A}" name="PivotTable10" cacheId="1973" applyNumberFormats="0" applyBorderFormats="0" applyFontFormats="0" applyPatternFormats="0" applyAlignmentFormats="0" applyWidthHeightFormats="1" dataCaption="Values" tag="900ce5d1-d559-417d-9b8a-43b552916988" updatedVersion="8" minRefreshableVersion="3" subtotalHiddenItems="1" itemPrintTitles="1" createdVersion="5" indent="0" outline="1" outlineData="1" multipleFieldFilters="0" chartFormat="58">
  <location ref="A82:B8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numFmtId="1"/>
  </dataFields>
  <formats count="1">
    <format dxfId="297">
      <pivotArea outline="0" collapsedLevelsAreSubtotals="1" fieldPosition="0"/>
    </format>
  </formats>
  <chartFormats count="3">
    <chartFormat chart="53" format="4" series="1">
      <pivotArea type="data" outline="0" fieldPosition="0">
        <references count="1">
          <reference field="4294967294" count="1" selected="0">
            <x v="0"/>
          </reference>
        </references>
      </pivotArea>
    </chartFormat>
    <chartFormat chart="53" format="5">
      <pivotArea type="data" outline="0" fieldPosition="0">
        <references count="2">
          <reference field="4294967294" count="1" selected="0">
            <x v="0"/>
          </reference>
          <reference field="1" count="1" selected="0">
            <x v="0"/>
          </reference>
        </references>
      </pivotArea>
    </chartFormat>
    <chartFormat chart="53"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B3EF99-F717-455B-9FED-4F9EC539D43B}" name="PivotTable9" cacheId="1970" applyNumberFormats="0" applyBorderFormats="0" applyFontFormats="0" applyPatternFormats="0" applyAlignmentFormats="0" applyWidthHeightFormats="1" dataCaption="Values" tag="5d8b05e3-a444-47ec-93b6-10a04172909a" updatedVersion="8" minRefreshableVersion="3" subtotalHiddenItems="1" itemPrintTitles="1" createdVersion="5" indent="0" outline="1" outlineData="1" multipleFieldFilters="0" chartFormat="50">
  <location ref="A59:B6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298">
      <pivotArea outline="0" collapsedLevelsAreSubtotals="1" fieldPosition="0"/>
    </format>
  </formats>
  <chartFormats count="1">
    <chartFormat chart="49"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B88033-CB3D-4E15-B813-322893565AC0}" name="PivotTable8" cacheId="1967" applyNumberFormats="0" applyBorderFormats="0" applyFontFormats="0" applyPatternFormats="0" applyAlignmentFormats="0" applyWidthHeightFormats="1" dataCaption="Values" tag="6ee7e3cd-e963-4f26-a745-445cbfc5cdda" updatedVersion="8" minRefreshableVersion="3" subtotalHiddenItems="1" itemPrintTitles="1" createdVersion="5" indent="0" outline="1" outlineData="1" multipleFieldFilters="0" chartFormat="44">
  <location ref="A52:C55"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303">
      <pivotArea outline="0" collapsedLevelsAreSubtotals="1" fieldPosition="0"/>
    </format>
    <format dxfId="304">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DE886B-A708-46BE-8A29-6B2C58E47383}" name="PivotTable7" cacheId="1964" applyNumberFormats="0" applyBorderFormats="0" applyFontFormats="0" applyPatternFormats="0" applyAlignmentFormats="0" applyWidthHeightFormats="1" dataCaption="Values" tag="2d40d1b9-5040-4447-8646-2112549fce1e" updatedVersion="8" minRefreshableVersion="3" subtotalHiddenItems="1" itemPrintTitles="1" createdVersion="5" indent="0" outline="1" outlineData="1" multipleFieldFilters="0" chartFormat="25">
  <location ref="K6:L38"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10"/>
  </dataFields>
  <formats count="1">
    <format dxfId="302">
      <pivotArea outline="0" collapsedLevelsAreSubtotals="1" fieldPosition="0"/>
    </format>
  </formats>
  <chartFormats count="1">
    <chartFormat chart="2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caption="Count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B96BD4-C8AF-4720-B761-5CA105ACE26A}" name="PivotTable6" cacheId="1961" applyNumberFormats="0" applyBorderFormats="0" applyFontFormats="0" applyPatternFormats="0" applyAlignmentFormats="0" applyWidthHeightFormats="1" dataCaption="Values" tag="6d4524af-135f-4674-a133-ec95b2a62134" updatedVersion="8" minRefreshableVersion="3" subtotalHiddenItems="1" itemPrintTitles="1" createdVersion="5" indent="0" outline="1" outlineData="1" multipleFieldFilters="0" chartFormat="19">
  <location ref="H5:I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1" numFmtId="2"/>
  </dataFields>
  <formats count="1">
    <format dxfId="301">
      <pivotArea outline="0" collapsedLevelsAreSubtotals="1" fieldPosition="0"/>
    </format>
  </formats>
  <chartFormats count="1">
    <chartFormat chart="18"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2EA1CE-F6B7-4FCE-A8A3-B8FC5AF46DEE}" name="PivotTable5" cacheId="1949" applyNumberFormats="0" applyBorderFormats="0" applyFontFormats="0" applyPatternFormats="0" applyAlignmentFormats="0" applyWidthHeightFormats="1" dataCaption="Values" tag="1133d909-41cb-48c2-9e24-a53db41be001" updatedVersion="8" minRefreshableVersion="3" subtotalHiddenItems="1" itemPrintTitles="1" createdVersion="5" indent="0" outline="1" outlineData="1" multipleFieldFilters="0" chartFormat="12">
  <location ref="C5:D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4" format="3"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9ECBB7-B952-48C1-AB1E-C20B434C9FDA}" name="PivotTable3" cacheId="1958" applyNumberFormats="0" applyBorderFormats="0" applyFontFormats="0" applyPatternFormats="0" applyAlignmentFormats="0" applyWidthHeightFormats="1" dataCaption="Values" tag="9eaad501-dc50-45be-b636-7006d031de63"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00">
      <pivotArea outline="0" collapsedLevelsAreSubtotals="1" fieldPosition="0"/>
    </format>
  </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12C6752-DCB3-4184-8637-E49DACED7302}" name="PivotTable2" cacheId="1955" applyNumberFormats="0" applyBorderFormats="0" applyFontFormats="0" applyPatternFormats="0" applyAlignmentFormats="0" applyWidthHeightFormats="1" dataCaption="Values" tag="4600dd9e-5f07-4eee-b82a-5712acfff5a0"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99">
      <pivotArea outline="0" collapsedLevelsAreSubtotals="1" fieldPosition="0"/>
    </format>
  </format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BD62D8E-A796-455C-8601-71B1B9B08124}" name="PivotTable1" cacheId="1952" applyNumberFormats="0" applyBorderFormats="0" applyFontFormats="0" applyPatternFormats="0" applyAlignmentFormats="0" applyWidthHeightFormats="1" dataCaption="Values" tag="44102b03-ccac-40ea-bd72-169917f93f97" updatedVersion="8" minRefreshableVersion="3" subtotalHiddenItems="1"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F68AFDD-9490-40F4-AAB6-4C942096FE77}" sourceName="[Calender_table].[Date (Month)]">
  <pivotTables>
    <pivotTable tabId="1" name="PivotTable5"/>
    <pivotTable tabId="1" name="PivotTable1"/>
    <pivotTable tabId="1" name="PivotTable2"/>
    <pivotTable tabId="1" name="PivotTable3"/>
    <pivotTable tabId="1" name="PivotTable6"/>
    <pivotTable tabId="1" name="PivotTable7"/>
    <pivotTable tabId="1" name="PivotTable8"/>
    <pivotTable tabId="1" name="PivotTable9"/>
    <pivotTable tabId="1" name="PivotTable10"/>
    <pivotTable tabId="1" name="PivotTable11"/>
    <pivotTable tabId="1" name="PivotTable12"/>
    <pivotTable tabId="1" name="PivotTable13"/>
  </pivotTables>
  <data>
    <olap pivotCacheId="786862760">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nd="1"/>
              <i n="[Calender_table].[Date (Month)].&amp;[Dec]" c="Dec" nd="1"/>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C55B1AE-264C-4C2F-A09B-089855F4575A}" sourceName="[Calende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5"/>
    <pivotTable tabId="1" name="PivotTable6"/>
    <pivotTable tabId="1" name="PivotTable7"/>
    <pivotTable tabId="1" name="PivotTable8"/>
    <pivotTable tabId="1" name="PivotTable9"/>
  </pivotTables>
  <data>
    <olap pivotCacheId="786862760">
      <levels count="2">
        <level uniqueName="[Calender_table].[Date (Year)].[(All)]" sourceCaption="(All)" count="0"/>
        <level uniqueName="[Calender_table].[Date (Year)].[Date (Year)]" sourceCaption="Date (Year)" count="2">
          <ranges>
            <range startItem="0">
              <i n="[Calender_table].[Date (Year)].&amp;[2024]" c="2024"/>
              <i n="[Calender_table].[Date (Year)].&amp;[2023]" c="2023" nd="1"/>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2F8F121-9D75-4608-8A0D-E49DE5AA3786}" cache="Slicer_Date__Month" caption="Date (Month)" showCaption="0" level="1" style="Slicer Style 2" rowHeight="234950"/>
  <slicer name="Date (Year)" xr10:uid="{82ED28E3-7265-4736-8D38-E6FD1EC4ECC5}" cache="Slicer_Date__Year" caption="Date (Year)" columnCount="2" showCaption="0" level="1" style="Slicer Style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0AE6B-0133-4764-AC7C-A2E6B5908219}">
  <dimension ref="A4:L112"/>
  <sheetViews>
    <sheetView topLeftCell="B37" workbookViewId="0">
      <selection activeCell="D54" sqref="D54"/>
    </sheetView>
  </sheetViews>
  <sheetFormatPr defaultRowHeight="14.4" x14ac:dyDescent="0.3"/>
  <cols>
    <col min="1" max="1" width="16.21875" customWidth="1"/>
    <col min="2" max="2" width="28.109375" bestFit="1" customWidth="1"/>
    <col min="3" max="3" width="10.109375" customWidth="1"/>
    <col min="4" max="4" width="17.77734375" customWidth="1"/>
    <col min="8" max="8" width="12.5546875" bestFit="1" customWidth="1"/>
    <col min="9" max="9" width="23.88671875" bestFit="1" customWidth="1"/>
    <col min="11" max="11" width="12.5546875" bestFit="1" customWidth="1"/>
    <col min="12" max="12" width="25" bestFit="1" customWidth="1"/>
  </cols>
  <sheetData>
    <row r="4" spans="1:12" s="1" customFormat="1" x14ac:dyDescent="0.3">
      <c r="A4" s="1" t="s">
        <v>1</v>
      </c>
    </row>
    <row r="5" spans="1:12" x14ac:dyDescent="0.3">
      <c r="A5" t="s">
        <v>0</v>
      </c>
      <c r="C5" s="3" t="s">
        <v>19</v>
      </c>
      <c r="D5" t="s">
        <v>0</v>
      </c>
      <c r="H5" s="3" t="s">
        <v>19</v>
      </c>
      <c r="I5" t="s">
        <v>2</v>
      </c>
    </row>
    <row r="6" spans="1:12" x14ac:dyDescent="0.3">
      <c r="A6" s="2">
        <v>513</v>
      </c>
      <c r="C6" s="6" t="s">
        <v>22</v>
      </c>
      <c r="D6" s="2">
        <v>19</v>
      </c>
      <c r="H6" s="6" t="s">
        <v>22</v>
      </c>
      <c r="I6" s="4">
        <v>37.789473684210527</v>
      </c>
      <c r="K6" s="3" t="s">
        <v>19</v>
      </c>
      <c r="L6" t="s">
        <v>18</v>
      </c>
    </row>
    <row r="7" spans="1:12" x14ac:dyDescent="0.3">
      <c r="C7" s="6" t="s">
        <v>23</v>
      </c>
      <c r="D7" s="2">
        <v>14</v>
      </c>
      <c r="H7" s="6" t="s">
        <v>23</v>
      </c>
      <c r="I7" s="4">
        <v>38.214285714285715</v>
      </c>
      <c r="K7" s="6" t="s">
        <v>22</v>
      </c>
      <c r="L7" s="4">
        <v>6.666666666666667</v>
      </c>
    </row>
    <row r="8" spans="1:12" x14ac:dyDescent="0.3">
      <c r="C8" s="6" t="s">
        <v>24</v>
      </c>
      <c r="D8" s="2">
        <v>13</v>
      </c>
      <c r="H8" s="6" t="s">
        <v>24</v>
      </c>
      <c r="I8" s="4">
        <v>40.92307692307692</v>
      </c>
      <c r="K8" s="6" t="s">
        <v>23</v>
      </c>
      <c r="L8" s="4">
        <v>3.5</v>
      </c>
    </row>
    <row r="9" spans="1:12" x14ac:dyDescent="0.3">
      <c r="A9" t="s">
        <v>2</v>
      </c>
      <c r="C9" s="6" t="s">
        <v>25</v>
      </c>
      <c r="D9" s="2">
        <v>22</v>
      </c>
      <c r="H9" s="6" t="s">
        <v>25</v>
      </c>
      <c r="I9" s="4">
        <v>34.5</v>
      </c>
      <c r="K9" s="6" t="s">
        <v>24</v>
      </c>
      <c r="L9" s="4">
        <v>4.5</v>
      </c>
    </row>
    <row r="10" spans="1:12" x14ac:dyDescent="0.3">
      <c r="A10" s="4">
        <v>36.323586744639378</v>
      </c>
      <c r="C10" s="6" t="s">
        <v>26</v>
      </c>
      <c r="D10" s="2">
        <v>19</v>
      </c>
      <c r="H10" s="6" t="s">
        <v>26</v>
      </c>
      <c r="I10" s="4">
        <v>30.684210526315791</v>
      </c>
      <c r="K10" s="6" t="s">
        <v>25</v>
      </c>
      <c r="L10" s="4">
        <v>4.8</v>
      </c>
    </row>
    <row r="11" spans="1:12" x14ac:dyDescent="0.3">
      <c r="C11" s="6" t="s">
        <v>27</v>
      </c>
      <c r="D11" s="2">
        <v>15</v>
      </c>
      <c r="H11" s="6" t="s">
        <v>27</v>
      </c>
      <c r="I11" s="4">
        <v>37.666666666666664</v>
      </c>
      <c r="K11" s="6" t="s">
        <v>26</v>
      </c>
      <c r="L11" s="4">
        <v>7.75</v>
      </c>
    </row>
    <row r="12" spans="1:12" x14ac:dyDescent="0.3">
      <c r="A12" t="s">
        <v>18</v>
      </c>
      <c r="C12" s="6" t="s">
        <v>28</v>
      </c>
      <c r="D12" s="2">
        <v>12</v>
      </c>
      <c r="H12" s="6" t="s">
        <v>28</v>
      </c>
      <c r="I12" s="4">
        <v>36.083333333333336</v>
      </c>
      <c r="K12" s="6" t="s">
        <v>27</v>
      </c>
      <c r="L12" s="4">
        <v>6.2</v>
      </c>
    </row>
    <row r="13" spans="1:12" x14ac:dyDescent="0.3">
      <c r="A13" s="4">
        <v>4.9591836734693882</v>
      </c>
      <c r="C13" s="6" t="s">
        <v>29</v>
      </c>
      <c r="D13" s="2">
        <v>21</v>
      </c>
      <c r="H13" s="6" t="s">
        <v>29</v>
      </c>
      <c r="I13" s="4">
        <v>43.523809523809526</v>
      </c>
      <c r="K13" s="6" t="s">
        <v>28</v>
      </c>
      <c r="L13" s="4">
        <v>3.75</v>
      </c>
    </row>
    <row r="14" spans="1:12" x14ac:dyDescent="0.3">
      <c r="C14" s="6" t="s">
        <v>30</v>
      </c>
      <c r="D14" s="2">
        <v>12</v>
      </c>
      <c r="H14" s="6" t="s">
        <v>30</v>
      </c>
      <c r="I14" s="4">
        <v>29.5</v>
      </c>
      <c r="K14" s="6" t="s">
        <v>29</v>
      </c>
      <c r="L14" s="4">
        <v>6.5</v>
      </c>
    </row>
    <row r="15" spans="1:12" x14ac:dyDescent="0.3">
      <c r="C15" s="6" t="s">
        <v>31</v>
      </c>
      <c r="D15" s="2">
        <v>13</v>
      </c>
      <c r="H15" s="6" t="s">
        <v>31</v>
      </c>
      <c r="I15" s="4">
        <v>38.07692307692308</v>
      </c>
      <c r="K15" s="6" t="s">
        <v>30</v>
      </c>
      <c r="L15" s="4">
        <v>3</v>
      </c>
    </row>
    <row r="16" spans="1:12" x14ac:dyDescent="0.3">
      <c r="C16" s="6" t="s">
        <v>32</v>
      </c>
      <c r="D16" s="2">
        <v>13</v>
      </c>
      <c r="H16" s="6" t="s">
        <v>32</v>
      </c>
      <c r="I16" s="4">
        <v>35.846153846153847</v>
      </c>
      <c r="K16" s="6" t="s">
        <v>31</v>
      </c>
      <c r="L16" s="4">
        <v>4.5</v>
      </c>
    </row>
    <row r="17" spans="3:12" x14ac:dyDescent="0.3">
      <c r="C17" s="6" t="s">
        <v>33</v>
      </c>
      <c r="D17" s="2">
        <v>16</v>
      </c>
      <c r="H17" s="6" t="s">
        <v>33</v>
      </c>
      <c r="I17" s="4">
        <v>32.625</v>
      </c>
      <c r="K17" s="6" t="s">
        <v>32</v>
      </c>
      <c r="L17" s="4">
        <v>6</v>
      </c>
    </row>
    <row r="18" spans="3:12" x14ac:dyDescent="0.3">
      <c r="C18" s="6" t="s">
        <v>34</v>
      </c>
      <c r="D18" s="2">
        <v>20</v>
      </c>
      <c r="H18" s="6" t="s">
        <v>34</v>
      </c>
      <c r="I18" s="4">
        <v>39.200000000000003</v>
      </c>
      <c r="K18" s="6" t="s">
        <v>33</v>
      </c>
      <c r="L18" s="4">
        <v>5.2</v>
      </c>
    </row>
    <row r="19" spans="3:12" x14ac:dyDescent="0.3">
      <c r="C19" s="6" t="s">
        <v>35</v>
      </c>
      <c r="D19" s="2">
        <v>25</v>
      </c>
      <c r="H19" s="6" t="s">
        <v>35</v>
      </c>
      <c r="I19" s="4">
        <v>35.28</v>
      </c>
      <c r="K19" s="6" t="s">
        <v>34</v>
      </c>
      <c r="L19" s="4">
        <v>4.4000000000000004</v>
      </c>
    </row>
    <row r="20" spans="3:12" x14ac:dyDescent="0.3">
      <c r="C20" s="6" t="s">
        <v>36</v>
      </c>
      <c r="D20" s="2">
        <v>20</v>
      </c>
      <c r="H20" s="6" t="s">
        <v>36</v>
      </c>
      <c r="I20" s="4">
        <v>32.549999999999997</v>
      </c>
      <c r="K20" s="6" t="s">
        <v>35</v>
      </c>
      <c r="L20" s="4">
        <v>3.4545454545454546</v>
      </c>
    </row>
    <row r="21" spans="3:12" x14ac:dyDescent="0.3">
      <c r="C21" s="6" t="s">
        <v>37</v>
      </c>
      <c r="D21" s="2">
        <v>14</v>
      </c>
      <c r="H21" s="6" t="s">
        <v>37</v>
      </c>
      <c r="I21" s="4">
        <v>35.642857142857146</v>
      </c>
      <c r="K21" s="6" t="s">
        <v>36</v>
      </c>
      <c r="L21" s="4">
        <v>4.4000000000000004</v>
      </c>
    </row>
    <row r="22" spans="3:12" x14ac:dyDescent="0.3">
      <c r="C22" s="6" t="s">
        <v>38</v>
      </c>
      <c r="D22" s="2">
        <v>17</v>
      </c>
      <c r="H22" s="6" t="s">
        <v>38</v>
      </c>
      <c r="I22" s="4">
        <v>38.764705882352942</v>
      </c>
      <c r="K22" s="6" t="s">
        <v>37</v>
      </c>
      <c r="L22" s="4">
        <v>5.833333333333333</v>
      </c>
    </row>
    <row r="23" spans="3:12" x14ac:dyDescent="0.3">
      <c r="C23" s="6" t="s">
        <v>39</v>
      </c>
      <c r="D23" s="2">
        <v>20</v>
      </c>
      <c r="H23" s="6" t="s">
        <v>39</v>
      </c>
      <c r="I23" s="4">
        <v>39.9</v>
      </c>
      <c r="K23" s="6" t="s">
        <v>38</v>
      </c>
      <c r="L23" s="4">
        <v>4.4444444444444446</v>
      </c>
    </row>
    <row r="24" spans="3:12" x14ac:dyDescent="0.3">
      <c r="C24" s="6" t="s">
        <v>40</v>
      </c>
      <c r="D24" s="2">
        <v>10</v>
      </c>
      <c r="H24" s="6" t="s">
        <v>40</v>
      </c>
      <c r="I24" s="4">
        <v>41.6</v>
      </c>
      <c r="K24" s="6" t="s">
        <v>39</v>
      </c>
      <c r="L24" s="4">
        <v>5.333333333333333</v>
      </c>
    </row>
    <row r="25" spans="3:12" x14ac:dyDescent="0.3">
      <c r="C25" s="6" t="s">
        <v>41</v>
      </c>
      <c r="D25" s="2">
        <v>17</v>
      </c>
      <c r="H25" s="6" t="s">
        <v>41</v>
      </c>
      <c r="I25" s="4">
        <v>39.470588235294116</v>
      </c>
      <c r="K25" s="6" t="s">
        <v>40</v>
      </c>
      <c r="L25" s="4">
        <v>5.333333333333333</v>
      </c>
    </row>
    <row r="26" spans="3:12" x14ac:dyDescent="0.3">
      <c r="C26" s="6" t="s">
        <v>42</v>
      </c>
      <c r="D26" s="2">
        <v>15</v>
      </c>
      <c r="H26" s="6" t="s">
        <v>42</v>
      </c>
      <c r="I26" s="4">
        <v>27.733333333333334</v>
      </c>
      <c r="K26" s="6" t="s">
        <v>41</v>
      </c>
      <c r="L26" s="4">
        <v>5.5714285714285712</v>
      </c>
    </row>
    <row r="27" spans="3:12" x14ac:dyDescent="0.3">
      <c r="C27" s="6" t="s">
        <v>43</v>
      </c>
      <c r="D27" s="2">
        <v>16</v>
      </c>
      <c r="H27" s="6" t="s">
        <v>43</v>
      </c>
      <c r="I27" s="4">
        <v>36.875</v>
      </c>
      <c r="K27" s="6" t="s">
        <v>42</v>
      </c>
      <c r="L27" s="4">
        <v>5</v>
      </c>
    </row>
    <row r="28" spans="3:12" x14ac:dyDescent="0.3">
      <c r="C28" s="6" t="s">
        <v>44</v>
      </c>
      <c r="D28" s="2">
        <v>18</v>
      </c>
      <c r="H28" s="6" t="s">
        <v>44</v>
      </c>
      <c r="I28" s="4">
        <v>40.333333333333336</v>
      </c>
      <c r="K28" s="6" t="s">
        <v>43</v>
      </c>
      <c r="L28" s="4">
        <v>6.4</v>
      </c>
    </row>
    <row r="29" spans="3:12" x14ac:dyDescent="0.3">
      <c r="C29" s="6" t="s">
        <v>45</v>
      </c>
      <c r="D29" s="2">
        <v>16</v>
      </c>
      <c r="H29" s="6" t="s">
        <v>45</v>
      </c>
      <c r="I29" s="4">
        <v>36.5</v>
      </c>
      <c r="K29" s="6" t="s">
        <v>44</v>
      </c>
      <c r="L29" s="4">
        <v>5.333333333333333</v>
      </c>
    </row>
    <row r="30" spans="3:12" x14ac:dyDescent="0.3">
      <c r="C30" s="6" t="s">
        <v>46</v>
      </c>
      <c r="D30" s="2">
        <v>15</v>
      </c>
      <c r="H30" s="6" t="s">
        <v>46</v>
      </c>
      <c r="I30" s="4">
        <v>32.866666666666667</v>
      </c>
      <c r="K30" s="6" t="s">
        <v>45</v>
      </c>
      <c r="L30" s="4">
        <v>3.75</v>
      </c>
    </row>
    <row r="31" spans="3:12" x14ac:dyDescent="0.3">
      <c r="C31" s="6" t="s">
        <v>47</v>
      </c>
      <c r="D31" s="2">
        <v>14</v>
      </c>
      <c r="H31" s="6" t="s">
        <v>47</v>
      </c>
      <c r="I31" s="4">
        <v>36.642857142857146</v>
      </c>
      <c r="K31" s="6" t="s">
        <v>46</v>
      </c>
      <c r="L31" s="4">
        <v>6.333333333333333</v>
      </c>
    </row>
    <row r="32" spans="3:12" x14ac:dyDescent="0.3">
      <c r="C32" s="6" t="s">
        <v>48</v>
      </c>
      <c r="D32" s="2">
        <v>16</v>
      </c>
      <c r="H32" s="6" t="s">
        <v>48</v>
      </c>
      <c r="I32" s="4">
        <v>36.5625</v>
      </c>
      <c r="K32" s="6" t="s">
        <v>47</v>
      </c>
      <c r="L32" s="4">
        <v>10</v>
      </c>
    </row>
    <row r="33" spans="1:12" x14ac:dyDescent="0.3">
      <c r="C33" s="6" t="s">
        <v>49</v>
      </c>
      <c r="D33" s="2">
        <v>20</v>
      </c>
      <c r="H33" s="6" t="s">
        <v>49</v>
      </c>
      <c r="I33" s="4">
        <v>32.15</v>
      </c>
      <c r="K33" s="6" t="s">
        <v>48</v>
      </c>
      <c r="L33" s="4">
        <v>5</v>
      </c>
    </row>
    <row r="34" spans="1:12" x14ac:dyDescent="0.3">
      <c r="C34" s="6" t="s">
        <v>50</v>
      </c>
      <c r="D34" s="2">
        <v>19</v>
      </c>
      <c r="H34" s="6" t="s">
        <v>50</v>
      </c>
      <c r="I34" s="4">
        <v>38.368421052631582</v>
      </c>
      <c r="K34" s="6" t="s">
        <v>49</v>
      </c>
      <c r="L34" s="4">
        <v>5.333333333333333</v>
      </c>
    </row>
    <row r="35" spans="1:12" x14ac:dyDescent="0.3">
      <c r="C35" s="6" t="s">
        <v>51</v>
      </c>
      <c r="D35" s="2">
        <v>14</v>
      </c>
      <c r="H35" s="6" t="s">
        <v>51</v>
      </c>
      <c r="I35" s="4">
        <v>33.071428571428569</v>
      </c>
      <c r="K35" s="6" t="s">
        <v>50</v>
      </c>
      <c r="L35" s="4">
        <v>4.8</v>
      </c>
    </row>
    <row r="36" spans="1:12" x14ac:dyDescent="0.3">
      <c r="C36" s="6" t="s">
        <v>52</v>
      </c>
      <c r="D36" s="2">
        <v>18</v>
      </c>
      <c r="H36" s="6" t="s">
        <v>52</v>
      </c>
      <c r="I36" s="4">
        <v>36.444444444444443</v>
      </c>
      <c r="K36" s="6" t="s">
        <v>51</v>
      </c>
      <c r="L36" s="4">
        <v>5</v>
      </c>
    </row>
    <row r="37" spans="1:12" x14ac:dyDescent="0.3">
      <c r="C37" s="6" t="s">
        <v>20</v>
      </c>
      <c r="D37" s="2">
        <v>513</v>
      </c>
      <c r="H37" s="6" t="s">
        <v>20</v>
      </c>
      <c r="I37" s="4">
        <v>36.323586744639378</v>
      </c>
      <c r="K37" s="6" t="s">
        <v>52</v>
      </c>
      <c r="L37" s="4">
        <v>1.4</v>
      </c>
    </row>
    <row r="38" spans="1:12" x14ac:dyDescent="0.3">
      <c r="K38" s="6" t="s">
        <v>20</v>
      </c>
      <c r="L38" s="4">
        <v>4.9591836734693882</v>
      </c>
    </row>
    <row r="48" spans="1:12" x14ac:dyDescent="0.3">
      <c r="A48" s="10" t="s">
        <v>62</v>
      </c>
      <c r="B48" s="10" t="s">
        <v>64</v>
      </c>
      <c r="C48" s="10" t="s">
        <v>63</v>
      </c>
      <c r="D48" s="10"/>
    </row>
    <row r="49" spans="1:4" x14ac:dyDescent="0.3">
      <c r="A49" s="11" t="str">
        <f>A54</f>
        <v>Not Admitted</v>
      </c>
      <c r="B49" s="11">
        <f>B54</f>
        <v>244</v>
      </c>
      <c r="C49" s="12">
        <f>C54</f>
        <v>0.47563352826510719</v>
      </c>
      <c r="D49" s="9"/>
    </row>
    <row r="50" spans="1:4" x14ac:dyDescent="0.3">
      <c r="A50" s="11" t="s">
        <v>5</v>
      </c>
      <c r="B50" s="13">
        <v>502</v>
      </c>
      <c r="C50" s="14">
        <v>0.52731092436974791</v>
      </c>
      <c r="D50" s="9"/>
    </row>
    <row r="52" spans="1:4" x14ac:dyDescent="0.3">
      <c r="A52" s="3" t="s">
        <v>19</v>
      </c>
      <c r="B52" t="s">
        <v>60</v>
      </c>
      <c r="C52" t="s">
        <v>61</v>
      </c>
    </row>
    <row r="53" spans="1:4" x14ac:dyDescent="0.3">
      <c r="A53" s="6" t="s">
        <v>5</v>
      </c>
      <c r="B53" s="4">
        <v>269</v>
      </c>
      <c r="C53" s="7">
        <v>0.52436647173489281</v>
      </c>
    </row>
    <row r="54" spans="1:4" x14ac:dyDescent="0.3">
      <c r="A54" s="6" t="s">
        <v>17</v>
      </c>
      <c r="B54" s="4">
        <v>244</v>
      </c>
      <c r="C54" s="7">
        <v>0.47563352826510719</v>
      </c>
    </row>
    <row r="55" spans="1:4" x14ac:dyDescent="0.3">
      <c r="A55" s="6" t="s">
        <v>20</v>
      </c>
      <c r="B55" s="4">
        <v>513</v>
      </c>
      <c r="C55" s="7">
        <v>1</v>
      </c>
    </row>
    <row r="59" spans="1:4" x14ac:dyDescent="0.3">
      <c r="A59" s="3" t="s">
        <v>19</v>
      </c>
      <c r="B59" t="s">
        <v>65</v>
      </c>
    </row>
    <row r="60" spans="1:4" x14ac:dyDescent="0.3">
      <c r="A60" s="6" t="s">
        <v>14</v>
      </c>
      <c r="B60" s="4">
        <v>76</v>
      </c>
    </row>
    <row r="61" spans="1:4" x14ac:dyDescent="0.3">
      <c r="A61" s="6" t="s">
        <v>9</v>
      </c>
      <c r="B61" s="4">
        <v>69</v>
      </c>
    </row>
    <row r="62" spans="1:4" x14ac:dyDescent="0.3">
      <c r="A62" s="6" t="s">
        <v>13</v>
      </c>
      <c r="B62" s="4">
        <v>64</v>
      </c>
    </row>
    <row r="63" spans="1:4" x14ac:dyDescent="0.3">
      <c r="A63" s="6" t="s">
        <v>15</v>
      </c>
      <c r="B63" s="4">
        <v>59</v>
      </c>
    </row>
    <row r="64" spans="1:4" x14ac:dyDescent="0.3">
      <c r="A64" s="6" t="s">
        <v>11</v>
      </c>
      <c r="B64" s="4">
        <v>58</v>
      </c>
    </row>
    <row r="65" spans="1:2" x14ac:dyDescent="0.3">
      <c r="A65" s="6" t="s">
        <v>12</v>
      </c>
      <c r="B65" s="4">
        <v>66</v>
      </c>
    </row>
    <row r="66" spans="1:2" x14ac:dyDescent="0.3">
      <c r="A66" s="6" t="s">
        <v>6</v>
      </c>
      <c r="B66" s="4">
        <v>67</v>
      </c>
    </row>
    <row r="67" spans="1:2" x14ac:dyDescent="0.3">
      <c r="A67" s="6" t="s">
        <v>8</v>
      </c>
      <c r="B67" s="4">
        <v>54</v>
      </c>
    </row>
    <row r="68" spans="1:2" x14ac:dyDescent="0.3">
      <c r="A68" s="6" t="s">
        <v>20</v>
      </c>
      <c r="B68" s="4">
        <v>513</v>
      </c>
    </row>
    <row r="82" spans="1:2" x14ac:dyDescent="0.3">
      <c r="A82" s="3" t="s">
        <v>19</v>
      </c>
      <c r="B82" t="s">
        <v>59</v>
      </c>
    </row>
    <row r="83" spans="1:2" x14ac:dyDescent="0.3">
      <c r="A83" s="6" t="s">
        <v>7</v>
      </c>
      <c r="B83" s="8">
        <v>316</v>
      </c>
    </row>
    <row r="84" spans="1:2" x14ac:dyDescent="0.3">
      <c r="A84" s="6" t="s">
        <v>10</v>
      </c>
      <c r="B84" s="8">
        <v>197</v>
      </c>
    </row>
    <row r="85" spans="1:2" x14ac:dyDescent="0.3">
      <c r="A85" s="6" t="s">
        <v>20</v>
      </c>
      <c r="B85" s="8">
        <v>513</v>
      </c>
    </row>
    <row r="88" spans="1:2" x14ac:dyDescent="0.3">
      <c r="A88" s="3" t="s">
        <v>19</v>
      </c>
      <c r="B88" t="s">
        <v>66</v>
      </c>
    </row>
    <row r="89" spans="1:2" x14ac:dyDescent="0.3">
      <c r="A89" s="6" t="s">
        <v>16</v>
      </c>
      <c r="B89" s="8">
        <v>241</v>
      </c>
    </row>
    <row r="90" spans="1:2" x14ac:dyDescent="0.3">
      <c r="A90" s="6" t="s">
        <v>3</v>
      </c>
      <c r="B90" s="8">
        <v>272</v>
      </c>
    </row>
    <row r="91" spans="1:2" x14ac:dyDescent="0.3">
      <c r="A91" s="6" t="s">
        <v>20</v>
      </c>
      <c r="B91" s="8">
        <v>513</v>
      </c>
    </row>
    <row r="93" spans="1:2" x14ac:dyDescent="0.3">
      <c r="A93" s="3" t="s">
        <v>19</v>
      </c>
      <c r="B93" t="s">
        <v>68</v>
      </c>
    </row>
    <row r="94" spans="1:2" x14ac:dyDescent="0.3">
      <c r="A94" s="6" t="s">
        <v>57</v>
      </c>
      <c r="B94" s="8">
        <v>4</v>
      </c>
    </row>
    <row r="95" spans="1:2" x14ac:dyDescent="0.3">
      <c r="A95" s="6" t="s">
        <v>55</v>
      </c>
      <c r="B95" s="8">
        <v>5</v>
      </c>
    </row>
    <row r="96" spans="1:2" x14ac:dyDescent="0.3">
      <c r="A96" s="6" t="s">
        <v>58</v>
      </c>
      <c r="B96" s="8">
        <v>9</v>
      </c>
    </row>
    <row r="97" spans="1:2" x14ac:dyDescent="0.3">
      <c r="A97" s="6" t="s">
        <v>56</v>
      </c>
      <c r="B97" s="8">
        <v>14</v>
      </c>
    </row>
    <row r="98" spans="1:2" x14ac:dyDescent="0.3">
      <c r="A98" s="6" t="s">
        <v>67</v>
      </c>
      <c r="B98" s="8">
        <v>14</v>
      </c>
    </row>
    <row r="99" spans="1:2" x14ac:dyDescent="0.3">
      <c r="A99" s="6" t="s">
        <v>54</v>
      </c>
      <c r="B99" s="8">
        <v>65</v>
      </c>
    </row>
    <row r="100" spans="1:2" x14ac:dyDescent="0.3">
      <c r="A100" s="6" t="s">
        <v>53</v>
      </c>
      <c r="B100" s="8">
        <v>103</v>
      </c>
    </row>
    <row r="101" spans="1:2" x14ac:dyDescent="0.3">
      <c r="A101" s="6" t="s">
        <v>4</v>
      </c>
      <c r="B101" s="8">
        <v>299</v>
      </c>
    </row>
    <row r="102" spans="1:2" x14ac:dyDescent="0.3">
      <c r="A102" s="6" t="s">
        <v>20</v>
      </c>
      <c r="B102" s="8">
        <v>513</v>
      </c>
    </row>
    <row r="110" spans="1:2" x14ac:dyDescent="0.3">
      <c r="A110" s="3" t="s">
        <v>19</v>
      </c>
    </row>
    <row r="111" spans="1:2" x14ac:dyDescent="0.3">
      <c r="A111" s="6" t="s">
        <v>21</v>
      </c>
    </row>
    <row r="112" spans="1:2" x14ac:dyDescent="0.3">
      <c r="A112" s="6" t="s">
        <v>20</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AB7F-9221-4166-9E01-68208E649497}">
  <dimension ref="A1:M30"/>
  <sheetViews>
    <sheetView tabSelected="1" workbookViewId="0">
      <selection activeCell="C29" sqref="C29"/>
    </sheetView>
  </sheetViews>
  <sheetFormatPr defaultRowHeight="14.4" x14ac:dyDescent="0.3"/>
  <sheetData>
    <row r="1" spans="1:13" x14ac:dyDescent="0.3">
      <c r="A1" s="5"/>
      <c r="B1" s="5"/>
      <c r="C1" s="5"/>
      <c r="D1" s="5"/>
      <c r="E1" s="5"/>
      <c r="F1" s="5"/>
      <c r="G1" s="5"/>
      <c r="H1" s="5"/>
      <c r="I1" s="5"/>
      <c r="J1" s="5"/>
      <c r="K1" s="5"/>
      <c r="L1" s="5"/>
      <c r="M1" s="5"/>
    </row>
    <row r="2" spans="1:13" x14ac:dyDescent="0.3">
      <c r="A2" s="5"/>
      <c r="B2" s="5"/>
      <c r="C2" s="5"/>
      <c r="D2" s="5"/>
      <c r="E2" s="5"/>
      <c r="F2" s="5"/>
      <c r="G2" s="5"/>
      <c r="H2" s="5"/>
      <c r="I2" s="5"/>
      <c r="J2" s="5"/>
      <c r="K2" s="5"/>
      <c r="L2" s="5"/>
      <c r="M2" s="5"/>
    </row>
    <row r="3" spans="1:13" x14ac:dyDescent="0.3">
      <c r="A3" s="5"/>
      <c r="B3" s="5"/>
      <c r="C3" s="5"/>
      <c r="D3" s="5"/>
      <c r="E3" s="5"/>
      <c r="F3" s="5"/>
      <c r="G3" s="5"/>
      <c r="H3" s="5"/>
      <c r="I3" s="5"/>
      <c r="J3" s="5"/>
      <c r="K3" s="5"/>
      <c r="L3" s="5"/>
      <c r="M3" s="5"/>
    </row>
    <row r="4" spans="1:13" x14ac:dyDescent="0.3">
      <c r="A4" s="5"/>
      <c r="B4" s="5"/>
      <c r="C4" s="5"/>
      <c r="D4" s="5"/>
      <c r="E4" s="5"/>
      <c r="F4" s="5"/>
      <c r="G4" s="5"/>
      <c r="H4" s="5"/>
      <c r="I4" s="5"/>
      <c r="J4" s="5"/>
      <c r="K4" s="5"/>
      <c r="L4" s="5"/>
      <c r="M4" s="5"/>
    </row>
    <row r="5" spans="1:13" x14ac:dyDescent="0.3">
      <c r="A5" s="5"/>
      <c r="B5" s="5"/>
      <c r="C5" s="5"/>
      <c r="D5" s="5"/>
      <c r="E5" s="5"/>
      <c r="F5" s="5"/>
      <c r="G5" s="5"/>
      <c r="H5" s="5"/>
      <c r="I5" s="5"/>
      <c r="J5" s="5"/>
      <c r="K5" s="5"/>
      <c r="L5" s="5"/>
      <c r="M5" s="5"/>
    </row>
    <row r="6" spans="1:13" x14ac:dyDescent="0.3">
      <c r="A6" s="5"/>
      <c r="B6" s="5"/>
      <c r="C6" s="5"/>
      <c r="D6" s="5"/>
      <c r="E6" s="5"/>
      <c r="F6" s="5"/>
      <c r="G6" s="5"/>
      <c r="H6" s="5"/>
      <c r="I6" s="5"/>
      <c r="J6" s="5"/>
      <c r="K6" s="5"/>
      <c r="L6" s="5"/>
      <c r="M6" s="5"/>
    </row>
    <row r="7" spans="1:13" x14ac:dyDescent="0.3">
      <c r="A7" s="5"/>
      <c r="B7" s="5"/>
      <c r="C7" s="5"/>
      <c r="D7" s="5"/>
      <c r="E7" s="5"/>
      <c r="F7" s="5"/>
      <c r="G7" s="5"/>
      <c r="H7" s="5"/>
      <c r="I7" s="5"/>
      <c r="J7" s="5"/>
      <c r="K7" s="5"/>
      <c r="L7" s="5"/>
      <c r="M7" s="5"/>
    </row>
    <row r="8" spans="1:13" x14ac:dyDescent="0.3">
      <c r="A8" s="5"/>
      <c r="B8" s="5"/>
      <c r="C8" s="5"/>
      <c r="D8" s="5"/>
      <c r="E8" s="5"/>
      <c r="F8" s="5"/>
      <c r="G8" s="5"/>
      <c r="H8" s="5"/>
      <c r="I8" s="5"/>
      <c r="J8" s="5"/>
      <c r="K8" s="5"/>
      <c r="L8" s="5"/>
      <c r="M8" s="5"/>
    </row>
    <row r="9" spans="1:13" x14ac:dyDescent="0.3">
      <c r="A9" s="5"/>
      <c r="B9" s="5"/>
      <c r="C9" s="5"/>
      <c r="D9" s="5"/>
      <c r="E9" s="5"/>
      <c r="F9" s="5"/>
      <c r="G9" s="5"/>
      <c r="H9" s="5"/>
      <c r="I9" s="5"/>
      <c r="J9" s="5"/>
      <c r="K9" s="5"/>
      <c r="L9" s="5"/>
      <c r="M9" s="5"/>
    </row>
    <row r="10" spans="1:13" x14ac:dyDescent="0.3">
      <c r="A10" s="5"/>
      <c r="B10" s="5"/>
      <c r="C10" s="5"/>
      <c r="D10" s="5"/>
      <c r="E10" s="5"/>
      <c r="F10" s="5"/>
      <c r="G10" s="5"/>
      <c r="H10" s="5"/>
      <c r="I10" s="5"/>
      <c r="J10" s="5"/>
      <c r="K10" s="5"/>
      <c r="L10" s="5"/>
      <c r="M10" s="5"/>
    </row>
    <row r="11" spans="1:13" x14ac:dyDescent="0.3">
      <c r="A11" s="5"/>
      <c r="B11" s="5"/>
      <c r="C11" s="5"/>
      <c r="D11" s="5"/>
      <c r="E11" s="5"/>
      <c r="F11" s="5"/>
      <c r="G11" s="5"/>
      <c r="H11" s="5"/>
      <c r="I11" s="5"/>
      <c r="J11" s="5"/>
      <c r="K11" s="5"/>
      <c r="L11" s="5"/>
      <c r="M11" s="5"/>
    </row>
    <row r="12" spans="1:13" x14ac:dyDescent="0.3">
      <c r="A12" s="5"/>
      <c r="B12" s="5"/>
      <c r="C12" s="5"/>
      <c r="D12" s="5"/>
      <c r="E12" s="5"/>
      <c r="F12" s="5"/>
      <c r="G12" s="5"/>
      <c r="H12" s="5"/>
      <c r="I12" s="5"/>
      <c r="J12" s="5"/>
      <c r="K12" s="5"/>
      <c r="L12" s="5"/>
      <c r="M12" s="5"/>
    </row>
    <row r="13" spans="1:13" x14ac:dyDescent="0.3">
      <c r="A13" s="5"/>
      <c r="B13" s="5"/>
      <c r="C13" s="5"/>
      <c r="D13" s="5"/>
      <c r="E13" s="5"/>
      <c r="F13" s="5"/>
      <c r="G13" s="5"/>
      <c r="H13" s="5"/>
      <c r="I13" s="5"/>
      <c r="J13" s="5"/>
      <c r="K13" s="5"/>
      <c r="L13" s="5"/>
      <c r="M13" s="5"/>
    </row>
    <row r="14" spans="1:13" x14ac:dyDescent="0.3">
      <c r="A14" s="5"/>
      <c r="B14" s="5"/>
      <c r="C14" s="5"/>
      <c r="D14" s="5"/>
      <c r="E14" s="5"/>
      <c r="F14" s="5"/>
      <c r="G14" s="5"/>
      <c r="H14" s="5"/>
      <c r="I14" s="5"/>
      <c r="J14" s="5"/>
      <c r="K14" s="5"/>
      <c r="L14" s="5"/>
      <c r="M14" s="5"/>
    </row>
    <row r="15" spans="1:13" x14ac:dyDescent="0.3">
      <c r="A15" s="5"/>
      <c r="B15" s="5"/>
      <c r="C15" s="5"/>
      <c r="D15" s="5"/>
      <c r="E15" s="5"/>
      <c r="F15" s="5"/>
      <c r="G15" s="5"/>
      <c r="H15" s="5"/>
      <c r="I15" s="5"/>
      <c r="J15" s="5"/>
      <c r="K15" s="5"/>
      <c r="L15" s="5"/>
      <c r="M15" s="5"/>
    </row>
    <row r="16" spans="1:13" x14ac:dyDescent="0.3">
      <c r="A16" s="5"/>
      <c r="B16" s="5"/>
      <c r="C16" s="5"/>
      <c r="D16" s="5"/>
      <c r="E16" s="5"/>
      <c r="F16" s="5"/>
      <c r="G16" s="5"/>
      <c r="H16" s="5"/>
      <c r="I16" s="5"/>
      <c r="J16" s="5"/>
      <c r="K16" s="5"/>
      <c r="L16" s="5"/>
      <c r="M16" s="5"/>
    </row>
    <row r="17" spans="1:13" x14ac:dyDescent="0.3">
      <c r="A17" s="5"/>
      <c r="B17" s="5"/>
      <c r="C17" s="5"/>
      <c r="D17" s="5"/>
      <c r="E17" s="5"/>
      <c r="F17" s="5"/>
      <c r="G17" s="5"/>
      <c r="H17" s="5"/>
      <c r="I17" s="5"/>
      <c r="J17" s="5"/>
      <c r="K17" s="5"/>
      <c r="L17" s="5"/>
      <c r="M17" s="5"/>
    </row>
    <row r="18" spans="1:13" x14ac:dyDescent="0.3">
      <c r="A18" s="5"/>
      <c r="B18" s="5"/>
      <c r="C18" s="5"/>
      <c r="D18" s="5"/>
      <c r="E18" s="5"/>
      <c r="F18" s="5"/>
      <c r="G18" s="5"/>
      <c r="H18" s="5"/>
      <c r="I18" s="5"/>
      <c r="J18" s="5"/>
      <c r="K18" s="5"/>
      <c r="L18" s="5"/>
      <c r="M18" s="5"/>
    </row>
    <row r="19" spans="1:13" x14ac:dyDescent="0.3">
      <c r="A19" s="5"/>
      <c r="B19" s="5"/>
      <c r="C19" s="5"/>
      <c r="D19" s="5"/>
      <c r="E19" s="5"/>
      <c r="F19" s="5"/>
      <c r="G19" s="5"/>
      <c r="H19" s="5"/>
      <c r="I19" s="5"/>
      <c r="J19" s="5"/>
      <c r="K19" s="5"/>
      <c r="L19" s="5"/>
      <c r="M19" s="5"/>
    </row>
    <row r="20" spans="1:13" x14ac:dyDescent="0.3">
      <c r="A20" s="5"/>
      <c r="B20" s="5"/>
      <c r="C20" s="5"/>
      <c r="D20" s="5"/>
      <c r="E20" s="5"/>
      <c r="F20" s="5"/>
      <c r="G20" s="5"/>
      <c r="H20" s="5"/>
      <c r="I20" s="5"/>
      <c r="J20" s="5"/>
      <c r="K20" s="5"/>
      <c r="L20" s="5"/>
      <c r="M20" s="5"/>
    </row>
    <row r="21" spans="1:13" x14ac:dyDescent="0.3">
      <c r="A21" s="5"/>
      <c r="B21" s="5"/>
      <c r="C21" s="5"/>
      <c r="D21" s="5"/>
      <c r="E21" s="5"/>
      <c r="F21" s="5"/>
      <c r="G21" s="5"/>
      <c r="H21" s="5"/>
      <c r="I21" s="5"/>
      <c r="J21" s="5"/>
      <c r="K21" s="5"/>
      <c r="L21" s="5"/>
      <c r="M21" s="5"/>
    </row>
    <row r="22" spans="1:13" x14ac:dyDescent="0.3">
      <c r="A22" s="5"/>
      <c r="B22" s="5"/>
      <c r="C22" s="5"/>
      <c r="D22" s="5"/>
      <c r="E22" s="5"/>
      <c r="F22" s="5"/>
      <c r="G22" s="5"/>
      <c r="H22" s="5"/>
      <c r="I22" s="5"/>
      <c r="J22" s="5"/>
      <c r="K22" s="5"/>
      <c r="L22" s="5"/>
      <c r="M22" s="5"/>
    </row>
    <row r="23" spans="1:13" x14ac:dyDescent="0.3">
      <c r="A23" s="5"/>
      <c r="B23" s="5"/>
      <c r="C23" s="5"/>
      <c r="D23" s="5"/>
      <c r="E23" s="5"/>
      <c r="F23" s="5"/>
      <c r="G23" s="5"/>
      <c r="H23" s="5"/>
      <c r="I23" s="5"/>
      <c r="J23" s="5"/>
      <c r="K23" s="5"/>
      <c r="L23" s="5"/>
      <c r="M23" s="5"/>
    </row>
    <row r="24" spans="1:13" x14ac:dyDescent="0.3">
      <c r="A24" s="5"/>
      <c r="B24" s="5"/>
      <c r="C24" s="5"/>
      <c r="D24" s="5"/>
      <c r="E24" s="5"/>
      <c r="F24" s="5"/>
      <c r="G24" s="5"/>
      <c r="H24" s="5"/>
      <c r="I24" s="5"/>
      <c r="J24" s="5"/>
      <c r="K24" s="5"/>
      <c r="L24" s="5"/>
      <c r="M24" s="5"/>
    </row>
    <row r="25" spans="1:13" x14ac:dyDescent="0.3">
      <c r="A25" s="5"/>
      <c r="B25" s="5"/>
      <c r="C25" s="5"/>
      <c r="D25" s="5"/>
      <c r="E25" s="5"/>
      <c r="F25" s="5"/>
      <c r="G25" s="5"/>
      <c r="H25" s="5"/>
      <c r="I25" s="5"/>
      <c r="J25" s="5"/>
      <c r="K25" s="5"/>
      <c r="L25" s="5"/>
      <c r="M25" s="5"/>
    </row>
    <row r="26" spans="1:13" x14ac:dyDescent="0.3">
      <c r="A26" s="5"/>
      <c r="B26" s="5"/>
      <c r="C26" s="5"/>
      <c r="D26" s="5"/>
      <c r="E26" s="5"/>
      <c r="F26" s="5"/>
      <c r="G26" s="5"/>
      <c r="H26" s="5"/>
      <c r="I26" s="5"/>
      <c r="J26" s="5"/>
      <c r="K26" s="5"/>
      <c r="L26" s="5"/>
      <c r="M26" s="5"/>
    </row>
    <row r="27" spans="1:13" x14ac:dyDescent="0.3">
      <c r="A27" s="5"/>
      <c r="B27" s="5"/>
      <c r="C27" s="5"/>
      <c r="D27" s="5"/>
      <c r="E27" s="5"/>
      <c r="F27" s="5"/>
      <c r="G27" s="5"/>
      <c r="H27" s="5"/>
      <c r="I27" s="5"/>
      <c r="J27" s="5"/>
      <c r="K27" s="5"/>
      <c r="L27" s="5"/>
      <c r="M27" s="5"/>
    </row>
    <row r="28" spans="1:13" x14ac:dyDescent="0.3">
      <c r="A28" s="5"/>
      <c r="B28" s="5"/>
      <c r="C28" s="5"/>
      <c r="D28" s="5"/>
      <c r="E28" s="5"/>
      <c r="F28" s="5"/>
      <c r="G28" s="5"/>
      <c r="H28" s="5"/>
      <c r="I28" s="5"/>
      <c r="J28" s="5"/>
      <c r="K28" s="5"/>
      <c r="L28" s="5"/>
      <c r="M28" s="5"/>
    </row>
    <row r="29" spans="1:13" x14ac:dyDescent="0.3">
      <c r="A29" s="5"/>
      <c r="B29" s="5"/>
      <c r="C29" s="5"/>
      <c r="D29" s="5"/>
      <c r="E29" s="5"/>
      <c r="F29" s="5"/>
      <c r="G29" s="5"/>
      <c r="H29" s="5"/>
      <c r="I29" s="5"/>
      <c r="J29" s="5"/>
      <c r="K29" s="5"/>
      <c r="L29" s="5"/>
      <c r="M29" s="5"/>
    </row>
    <row r="30" spans="1:13" x14ac:dyDescent="0.3">
      <c r="A30" s="5"/>
      <c r="B30" s="5"/>
      <c r="C30" s="5"/>
      <c r="D30" s="5"/>
      <c r="E30" s="5"/>
      <c r="F30" s="5"/>
      <c r="G30" s="5"/>
      <c r="H30" s="5"/>
      <c r="I30" s="5"/>
      <c r="J30" s="5"/>
      <c r="K30" s="5"/>
      <c r="L30" s="5"/>
      <c r="M30" s="5"/>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8DBDF-7165-46EC-8C0C-0F5DF05B3CBC}">
  <dimension ref="A1"/>
  <sheetViews>
    <sheetView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17B6D25-79C5-47D7-A9B0-4CF92929DE8E}">
  <ds:schemaRefs>
    <ds:schemaRef ds:uri="http://schemas.microsoft.com/DataMashup"/>
  </ds:schemaRefs>
</ds:datastoreItem>
</file>

<file path=customXml/itemProps2.xml><?xml version="1.0" encoding="utf-8"?>
<ds:datastoreItem xmlns:ds="http://schemas.openxmlformats.org/officeDocument/2006/customXml" ds:itemID="{03AAA589-9061-469E-80DC-4B962F7860FE}">
  <ds:schemaRefs/>
</ds:datastoreItem>
</file>

<file path=customXml/itemProps3.xml><?xml version="1.0" encoding="utf-8"?>
<ds:datastoreItem xmlns:ds="http://schemas.openxmlformats.org/officeDocument/2006/customXml" ds:itemID="{8641B891-88CA-4C6E-957A-FC7BD2B6C8E4}">
  <ds:schemaRefs/>
</ds:datastoreItem>
</file>

<file path=customXml/itemProps4.xml><?xml version="1.0" encoding="utf-8"?>
<ds:datastoreItem xmlns:ds="http://schemas.openxmlformats.org/officeDocument/2006/customXml" ds:itemID="{258339AF-D36A-4775-A4CD-CCA05FC2C434}">
  <ds:schemaRefs/>
</ds:datastoreItem>
</file>

<file path=customXml/itemProps5.xml><?xml version="1.0" encoding="utf-8"?>
<ds:datastoreItem xmlns:ds="http://schemas.openxmlformats.org/officeDocument/2006/customXml" ds:itemID="{B2920E78-6B95-489C-A691-97A4484F837E}">
  <ds:schemaRefs/>
</ds:datastoreItem>
</file>

<file path=customXml/itemProps6.xml><?xml version="1.0" encoding="utf-8"?>
<ds:datastoreItem xmlns:ds="http://schemas.openxmlformats.org/officeDocument/2006/customXml" ds:itemID="{195CA63F-A89A-4073-8518-25AD416E8149}">
  <ds:schemaRefs/>
</ds:datastoreItem>
</file>

<file path=customXml/itemProps7.xml><?xml version="1.0" encoding="utf-8"?>
<ds:datastoreItem xmlns:ds="http://schemas.openxmlformats.org/officeDocument/2006/customXml" ds:itemID="{21D31D3E-59EE-4F6E-BBD2-E32E9272268F}">
  <ds:schemaRefs/>
</ds:datastoreItem>
</file>

<file path=customXml/itemProps8.xml><?xml version="1.0" encoding="utf-8"?>
<ds:datastoreItem xmlns:ds="http://schemas.openxmlformats.org/officeDocument/2006/customXml" ds:itemID="{541C8DE1-8BBF-4A5D-BE59-4E536931D69A}">
  <ds:schemaRefs/>
</ds:datastoreItem>
</file>

<file path=customXml/itemProps9.xml><?xml version="1.0" encoding="utf-8"?>
<ds:datastoreItem xmlns:ds="http://schemas.openxmlformats.org/officeDocument/2006/customXml" ds:itemID="{F3D528DE-27E5-4D3F-A764-42A32FAEF132}">
  <ds:schemaRefs/>
</ds:datastoreItem>
</file>

<file path=customXml/itemProps10.xml><?xml version="1.0" encoding="utf-8"?>
<ds:datastoreItem xmlns:ds="http://schemas.openxmlformats.org/officeDocument/2006/customXml" ds:itemID="{64FF4629-290D-4887-BB82-227419BF285D}">
  <ds:schemaRefs/>
</ds:datastoreItem>
</file>

<file path=customXml/itemProps11.xml><?xml version="1.0" encoding="utf-8"?>
<ds:datastoreItem xmlns:ds="http://schemas.openxmlformats.org/officeDocument/2006/customXml" ds:itemID="{FF1811F1-6F60-4E15-86DC-B85A8643E8C9}">
  <ds:schemaRefs/>
</ds:datastoreItem>
</file>

<file path=customXml/itemProps12.xml><?xml version="1.0" encoding="utf-8"?>
<ds:datastoreItem xmlns:ds="http://schemas.openxmlformats.org/officeDocument/2006/customXml" ds:itemID="{E34EE047-7519-445E-8712-2E88C5BD19FB}">
  <ds:schemaRefs/>
</ds:datastoreItem>
</file>

<file path=customXml/itemProps13.xml><?xml version="1.0" encoding="utf-8"?>
<ds:datastoreItem xmlns:ds="http://schemas.openxmlformats.org/officeDocument/2006/customXml" ds:itemID="{029809D2-F41F-4780-BE7C-324F1313B4DA}">
  <ds:schemaRefs/>
</ds:datastoreItem>
</file>

<file path=customXml/itemProps14.xml><?xml version="1.0" encoding="utf-8"?>
<ds:datastoreItem xmlns:ds="http://schemas.openxmlformats.org/officeDocument/2006/customXml" ds:itemID="{88F35F2F-0119-4104-B4A2-1308C34CACEF}">
  <ds:schemaRefs/>
</ds:datastoreItem>
</file>

<file path=customXml/itemProps15.xml><?xml version="1.0" encoding="utf-8"?>
<ds:datastoreItem xmlns:ds="http://schemas.openxmlformats.org/officeDocument/2006/customXml" ds:itemID="{F8098DD6-B95D-415D-A40F-BA9DE8DE41B5}">
  <ds:schemaRefs/>
</ds:datastoreItem>
</file>

<file path=customXml/itemProps16.xml><?xml version="1.0" encoding="utf-8"?>
<ds:datastoreItem xmlns:ds="http://schemas.openxmlformats.org/officeDocument/2006/customXml" ds:itemID="{22395515-8E7C-4078-A8C2-5D078A372301}">
  <ds:schemaRefs/>
</ds:datastoreItem>
</file>

<file path=customXml/itemProps17.xml><?xml version="1.0" encoding="utf-8"?>
<ds:datastoreItem xmlns:ds="http://schemas.openxmlformats.org/officeDocument/2006/customXml" ds:itemID="{332B0442-EF71-45E9-B282-B31652081B00}">
  <ds:schemaRefs/>
</ds:datastoreItem>
</file>

<file path=customXml/itemProps18.xml><?xml version="1.0" encoding="utf-8"?>
<ds:datastoreItem xmlns:ds="http://schemas.openxmlformats.org/officeDocument/2006/customXml" ds:itemID="{01667351-2313-4B82-AD29-16B36B54E66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Report</vt:lpstr>
      <vt:lpstr>Dashboard</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 Chaudhary</dc:creator>
  <cp:lastModifiedBy>Anu Chaudhary</cp:lastModifiedBy>
  <dcterms:created xsi:type="dcterms:W3CDTF">2026-07-22T14:11:39Z</dcterms:created>
  <dcterms:modified xsi:type="dcterms:W3CDTF">2026-07-25T13:13:39Z</dcterms:modified>
</cp:coreProperties>
</file>